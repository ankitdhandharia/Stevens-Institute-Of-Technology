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dhandharia/Documents/Ankit_dhandharia_MIdsem/"/>
    </mc:Choice>
  </mc:AlternateContent>
  <xr:revisionPtr revIDLastSave="0" documentId="8_{BD6BB6B0-31AE-8F40-B4BE-43AFC8243384}" xr6:coauthVersionLast="47" xr6:coauthVersionMax="47" xr10:uidLastSave="{00000000-0000-0000-0000-000000000000}"/>
  <bookViews>
    <workbookView xWindow="14600" yWindow="0" windowWidth="14200" windowHeight="18000" xr2:uid="{ABB8BFAA-B8BF-194E-950D-20005CB23BA3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21" i="1"/>
  <c r="N41" i="1"/>
  <c r="J19" i="1"/>
  <c r="J36" i="1"/>
  <c r="I36" i="1"/>
  <c r="H30" i="1"/>
  <c r="R42" i="1"/>
  <c r="P42" i="1"/>
  <c r="J42" i="1"/>
  <c r="L18" i="1"/>
  <c r="N42" i="1"/>
  <c r="J26" i="1"/>
  <c r="I42" i="1"/>
  <c r="I26" i="1"/>
  <c r="O42" i="1"/>
  <c r="R40" i="1"/>
  <c r="P40" i="1"/>
  <c r="J40" i="1"/>
  <c r="L28" i="1"/>
  <c r="H28" i="1"/>
  <c r="K28" i="1"/>
  <c r="Q41" i="1"/>
  <c r="H41" i="1"/>
  <c r="Q42" i="1"/>
  <c r="H42" i="1"/>
  <c r="H35" i="1"/>
  <c r="H20" i="1"/>
  <c r="H7" i="1"/>
  <c r="H14" i="1"/>
  <c r="I34" i="1"/>
  <c r="J34" i="1"/>
  <c r="Q40" i="1"/>
  <c r="H40" i="1"/>
  <c r="L25" i="1"/>
  <c r="H25" i="1"/>
  <c r="K25" i="1"/>
  <c r="L26" i="1"/>
  <c r="K42" i="1"/>
  <c r="H26" i="1"/>
  <c r="K26" i="1"/>
  <c r="L42" i="1"/>
  <c r="J25" i="1"/>
  <c r="H6" i="1"/>
  <c r="H4" i="1"/>
  <c r="H5" i="1"/>
  <c r="H44" i="1"/>
  <c r="L40" i="1"/>
  <c r="K19" i="1"/>
  <c r="O41" i="1"/>
  <c r="I19" i="1"/>
  <c r="I41" i="1"/>
  <c r="M41" i="1"/>
  <c r="I18" i="1"/>
  <c r="K18" i="1"/>
  <c r="H18" i="1"/>
  <c r="J41" i="1"/>
  <c r="P41" i="1"/>
  <c r="R41" i="1"/>
  <c r="K27" i="1"/>
  <c r="H27" i="1"/>
  <c r="L27" i="1"/>
  <c r="H36" i="1"/>
  <c r="H29" i="1"/>
  <c r="L19" i="1"/>
  <c r="H19" i="1"/>
  <c r="K41" i="1"/>
  <c r="L41" i="1"/>
  <c r="J11" i="1"/>
  <c r="J18" i="1"/>
  <c r="I25" i="1"/>
  <c r="M42" i="1"/>
  <c r="H11" i="1"/>
  <c r="L11" i="1"/>
  <c r="M40" i="1"/>
  <c r="J27" i="1"/>
  <c r="J28" i="1"/>
  <c r="I28" i="1"/>
  <c r="K11" i="1"/>
  <c r="I27" i="1"/>
  <c r="L12" i="1"/>
  <c r="H12" i="1"/>
  <c r="K40" i="1"/>
  <c r="O40" i="1"/>
  <c r="K12" i="1"/>
  <c r="I12" i="1"/>
  <c r="I40" i="1"/>
  <c r="H13" i="1"/>
  <c r="H34" i="1"/>
  <c r="I11" i="1"/>
  <c r="J12" i="1"/>
  <c r="N40" i="1"/>
</calcChain>
</file>

<file path=xl/sharedStrings.xml><?xml version="1.0" encoding="utf-8"?>
<sst xmlns="http://schemas.openxmlformats.org/spreadsheetml/2006/main" count="127" uniqueCount="60">
  <si>
    <t>Record #</t>
  </si>
  <si>
    <t>Class</t>
  </si>
  <si>
    <t>STEROID</t>
  </si>
  <si>
    <t>LIVER_FIRM</t>
  </si>
  <si>
    <t>Age_Quartile</t>
  </si>
  <si>
    <t>Q2</t>
  </si>
  <si>
    <t>Q3</t>
  </si>
  <si>
    <t>Q4</t>
  </si>
  <si>
    <t>Q1</t>
  </si>
  <si>
    <t>Root Node Analysis</t>
  </si>
  <si>
    <t>Class Distribution</t>
  </si>
  <si>
    <t>Class 1 Count:</t>
  </si>
  <si>
    <t>Class 2 Count:</t>
  </si>
  <si>
    <t>Total Valid Samples:</t>
  </si>
  <si>
    <t>Root Gini Impurity:</t>
  </si>
  <si>
    <t>Formula: 1-((p₁)²+(p₂)²)</t>
  </si>
  <si>
    <t>STEROID Split Analysis</t>
  </si>
  <si>
    <t>STEROID Value</t>
  </si>
  <si>
    <t>Count</t>
  </si>
  <si>
    <t>Class 1</t>
  </si>
  <si>
    <t>Class 2</t>
  </si>
  <si>
    <t>Gini</t>
  </si>
  <si>
    <t>Weight</t>
  </si>
  <si>
    <t>STEROID = 1</t>
  </si>
  <si>
    <t>STEROID = 2</t>
  </si>
  <si>
    <t>Weighted Gini:</t>
  </si>
  <si>
    <t>Information Gain:</t>
  </si>
  <si>
    <t>LIVER_FIRM Split Analysis</t>
  </si>
  <si>
    <t>LIVER_FIRM Value</t>
  </si>
  <si>
    <t>LIVER_FIRM = 1</t>
  </si>
  <si>
    <t>LIVER_FIRM = 2</t>
  </si>
  <si>
    <t>Age_Quartile Split Analysis</t>
  </si>
  <si>
    <t>Age_Quartile Value</t>
  </si>
  <si>
    <t>Feature Comparison</t>
  </si>
  <si>
    <t>Feature</t>
  </si>
  <si>
    <t>Rank</t>
  </si>
  <si>
    <t>Split Quality Measures</t>
  </si>
  <si>
    <t>P(j|tL)</t>
  </si>
  <si>
    <t>P(j|tR)</t>
  </si>
  <si>
    <t>PL</t>
  </si>
  <si>
    <t>PR</t>
  </si>
  <si>
    <t>H_P = 0 (Left)</t>
  </si>
  <si>
    <t>H_P = 1 (Left)</t>
  </si>
  <si>
    <t>H_P = 0 (Right)</t>
  </si>
  <si>
    <t>H_P = 1 (Right)</t>
  </si>
  <si>
    <t>q(s|t)</t>
  </si>
  <si>
    <t>Overall Best Split Feature:</t>
  </si>
  <si>
    <r>
      <t>2PL</t>
    </r>
    <r>
      <rPr>
        <b/>
        <i/>
        <sz val="12"/>
        <color theme="1"/>
        <rFont val="Aptos Narrow"/>
        <scheme val="minor"/>
      </rPr>
      <t>PR</t>
    </r>
  </si>
  <si>
    <r>
      <t>2PL</t>
    </r>
    <r>
      <rPr>
        <b/>
        <sz val="12"/>
        <color theme="1"/>
        <rFont val="Aptos Narrow"/>
        <scheme val="minor"/>
      </rPr>
      <t>PR*q(s|t)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</si>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</sst>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D45DC-F546-9D4C-B7D6-E8CF76E3A135}" name="Table2" displayName="Table2" ref="G1:L7" totalsRowShown="0">
  <autoFilter ref="G1:L7" xr:uid="{C9BD45DC-F546-9D4C-B7D6-E8CF76E3A135}"/>
  <tableColumns count="6">
    <tableColumn id="1" xr3:uid="{DB7D132C-616B-5640-ABA8-1B41DC93DC3B}" name="Column1" dataDxfId="7"/>
    <tableColumn id="2" xr3:uid="{69C21D0D-8F49-C74B-AAE1-F63A68FAFE0B}" name="Column2"/>
    <tableColumn id="3" xr3:uid="{6275FB32-6B30-3340-99C5-8354F3BA78E4}" name="Column3"/>
    <tableColumn id="4" xr3:uid="{1E75C4F5-A4A6-8347-940B-6A650C1C346A}" name="Column4"/>
    <tableColumn id="5" xr3:uid="{E9DF50ED-E787-0A49-8698-125AA45C5923}" name="Column5"/>
    <tableColumn id="6" xr3:uid="{76CBF435-A413-BB49-A60B-A0818D24F861}" name="Column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D3824D-3137-3B4B-B41F-EFC852DF2CC9}" name="Table3" displayName="Table3" ref="G9:L14" totalsRowShown="0">
  <autoFilter ref="G9:L14" xr:uid="{ADD3824D-3137-3B4B-B41F-EFC852DF2CC9}"/>
  <tableColumns count="6">
    <tableColumn id="1" xr3:uid="{A2D428FF-BC10-6642-84F2-52FCD24A133F}" name="STEROID Split Analysis" dataDxfId="6"/>
    <tableColumn id="2" xr3:uid="{B0AB1DE9-0209-424B-9B48-1C8648C5DB30}" name="Column1"/>
    <tableColumn id="3" xr3:uid="{BB57F1FA-DEFA-9444-BEDB-AA08ECB21AA7}" name="Column2"/>
    <tableColumn id="4" xr3:uid="{73F6B636-F71D-984F-95D3-456568377C8F}" name="Column3"/>
    <tableColumn id="5" xr3:uid="{C4D92D71-97C7-B649-805A-32C34940A37D}" name="Column4"/>
    <tableColumn id="6" xr3:uid="{B370EEB7-F65C-F441-AC2C-F07A78683AEF}" name="Column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4FD586-9432-3940-8783-9FCA242090A2}" name="Table4" displayName="Table4" ref="G16:L21" totalsRowShown="0">
  <autoFilter ref="G16:L21" xr:uid="{BB4FD586-9432-3940-8783-9FCA242090A2}"/>
  <tableColumns count="6">
    <tableColumn id="1" xr3:uid="{62772B62-8AD5-0B4A-8164-40A27000D4C1}" name="LIVER_FIRM Split Analysis" dataDxfId="5"/>
    <tableColumn id="2" xr3:uid="{890B8461-4AE6-CA41-8279-D85928CF4D2A}" name="Column1"/>
    <tableColumn id="3" xr3:uid="{A3091224-6675-6347-BB27-1209BC0DBC57}" name="Column2"/>
    <tableColumn id="4" xr3:uid="{EAE20FE5-CDCC-CE4A-B6B8-F82A29ACA757}" name="Column3"/>
    <tableColumn id="5" xr3:uid="{45CDCE23-BEF1-3142-9FE7-1BE4F9C7B320}" name="Column4"/>
    <tableColumn id="6" xr3:uid="{010E4DAD-9B68-3949-B6D0-AD7215143601}" name="Column5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32FC90-EED4-0047-921F-D6209EA37021}" name="Table5" displayName="Table5" ref="G23:L30" totalsRowShown="0">
  <autoFilter ref="G23:L30" xr:uid="{A332FC90-EED4-0047-921F-D6209EA37021}"/>
  <tableColumns count="6">
    <tableColumn id="1" xr3:uid="{1679C305-DFF9-2F46-9604-DD90FB5F78D8}" name="Age_Quartile Split Analysis" dataDxfId="4"/>
    <tableColumn id="2" xr3:uid="{11AD6AB6-FC19-7749-8CA3-01557709F6D4}" name="Column1"/>
    <tableColumn id="3" xr3:uid="{48300593-E79F-9146-97E4-2B3EEFD0A028}" name="Column2"/>
    <tableColumn id="4" xr3:uid="{3EB8AAFF-605C-CE43-80C0-57EC9A7E3B42}" name="Column3"/>
    <tableColumn id="5" xr3:uid="{C012CB4F-F07D-F945-8C22-670B46B8BE6B}" name="Column4"/>
    <tableColumn id="6" xr3:uid="{92C5C4CF-B354-B544-BD0E-1A85FB8D572C}" name="Column5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BA4E30-1F96-174D-89BD-AF57AE626A9A}" name="Table6" displayName="Table6" ref="G32:J36" totalsRowShown="0" headerRowDxfId="2">
  <autoFilter ref="G32:J36" xr:uid="{C9BA4E30-1F96-174D-89BD-AF57AE626A9A}"/>
  <tableColumns count="4">
    <tableColumn id="1" xr3:uid="{6A96AF46-021E-654C-8265-5718EE7E2BAA}" name="Feature Comparison" dataDxfId="3"/>
    <tableColumn id="2" xr3:uid="{96661F7A-637C-0546-933E-C0B245B1FAA4}" name="Column1"/>
    <tableColumn id="3" xr3:uid="{2FCA79CB-676F-604B-9C3A-E97A75A0D606}" name="Column2"/>
    <tableColumn id="4" xr3:uid="{69086D0E-A003-CB4D-9E91-6349BFBBB986}" name="Column3">
      <calculatedColumnFormula>RANK(I33,$C$35:$C$37,0)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B25FF3-4EC3-064F-894A-467B3FBFED03}" name="Table8" displayName="Table8" ref="G38:R44" totalsRowShown="0">
  <autoFilter ref="G38:R44" xr:uid="{3BB25FF3-4EC3-064F-894A-467B3FBFED03}"/>
  <tableColumns count="12">
    <tableColumn id="1" xr3:uid="{29FA4AF6-C0C3-634F-B3BF-DDB55955C81D}" name="Split Quality Measures" dataDxfId="1"/>
    <tableColumn id="2" xr3:uid="{802872C8-89C1-BA4E-B4AD-2E8CFC4A7A03}" name="Column1"/>
    <tableColumn id="3" xr3:uid="{4EEB43A3-67ED-AA40-8911-E0990F01D49D}" name="Column2"/>
    <tableColumn id="4" xr3:uid="{2D781E49-FCA3-2A4E-99DF-27173F972E3F}" name="Column3"/>
    <tableColumn id="5" xr3:uid="{420864F2-16B3-0442-985B-C6822F50E592}" name="Column4"/>
    <tableColumn id="6" xr3:uid="{E4F9413C-EC6D-E744-93DA-94E5900F81FB}" name="Column5"/>
    <tableColumn id="7" xr3:uid="{3DE87236-048A-4C4F-AAB9-324471334A26}" name="Column6"/>
    <tableColumn id="8" xr3:uid="{3F9BCB03-0800-F648-8718-6FAB12DFE7D9}" name="Column7"/>
    <tableColumn id="9" xr3:uid="{4A65B729-4406-2047-A988-E37E7E0B4242}" name="Column8"/>
    <tableColumn id="10" xr3:uid="{2E4BEFA1-4467-6B45-AF41-F1C9154C090E}" name="Column9"/>
    <tableColumn id="11" xr3:uid="{FED01C1D-2C52-524F-B414-240FE39380DF}" name="Column10"/>
    <tableColumn id="12" xr3:uid="{5841DF0E-837D-4345-9EA9-F3526A10710C}" name="Column11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27D183-720E-4C4D-9204-742FD27D8D2F}" name="Table9" displayName="Table9" ref="A1:E21" totalsRowShown="0" headerRowDxfId="0">
  <autoFilter ref="A1:E21" xr:uid="{5627D183-720E-4C4D-9204-742FD27D8D2F}"/>
  <tableColumns count="5">
    <tableColumn id="1" xr3:uid="{BEFE3A23-D8AA-4640-96EC-2CB0F2D26D7E}" name="Record #"/>
    <tableColumn id="2" xr3:uid="{3D0EB28C-1B2A-8143-9FAA-717185A8A8C5}" name="Class"/>
    <tableColumn id="3" xr3:uid="{46BA646D-92CF-ED49-AEE6-42197C7E6144}" name="STEROID"/>
    <tableColumn id="4" xr3:uid="{9C8D4E60-457E-264F-A62E-F804290CE79F}" name="LIVER_FIRM"/>
    <tableColumn id="5" xr3:uid="{AEF360B6-4733-4447-9FF0-92248C167EC8}" name="Age_Quartil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196D-AE8E-1245-9FD7-46857DC4169F}">
  <dimension ref="A1:R44"/>
  <sheetViews>
    <sheetView tabSelected="1" topLeftCell="E1" workbookViewId="0">
      <selection activeCell="H46" sqref="H46"/>
    </sheetView>
  </sheetViews>
  <sheetFormatPr baseColWidth="10" defaultRowHeight="16" x14ac:dyDescent="0.2"/>
  <cols>
    <col min="4" max="4" width="13.33203125" customWidth="1"/>
    <col min="5" max="5" width="14.1640625" customWidth="1"/>
    <col min="7" max="7" width="38" bestFit="1" customWidth="1"/>
    <col min="8" max="8" width="13.1640625" bestFit="1" customWidth="1"/>
    <col min="9" max="9" width="19.83203125" bestFit="1" customWidth="1"/>
    <col min="10" max="10" width="11.1640625" bestFit="1" customWidth="1"/>
    <col min="11" max="13" width="12.1640625" bestFit="1" customWidth="1"/>
    <col min="14" max="15" width="13.1640625" bestFit="1" customWidth="1"/>
    <col min="16" max="16" width="11.1640625" bestFit="1" customWidth="1"/>
    <col min="17" max="17" width="12.1640625" bestFit="1" customWidth="1"/>
    <col min="18" max="18" width="13.1640625" bestFit="1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/>
      <c r="N1"/>
      <c r="O1"/>
      <c r="P1"/>
      <c r="Q1"/>
      <c r="R1"/>
    </row>
    <row r="2" spans="1:18" x14ac:dyDescent="0.2">
      <c r="A2">
        <v>1</v>
      </c>
      <c r="B2">
        <v>2</v>
      </c>
      <c r="C2">
        <v>2</v>
      </c>
      <c r="D2">
        <v>2</v>
      </c>
      <c r="E2" t="s">
        <v>5</v>
      </c>
      <c r="G2" s="1" t="s">
        <v>9</v>
      </c>
    </row>
    <row r="3" spans="1:18" x14ac:dyDescent="0.2">
      <c r="A3">
        <v>2</v>
      </c>
      <c r="B3">
        <v>1</v>
      </c>
      <c r="C3">
        <v>1</v>
      </c>
      <c r="D3">
        <v>2</v>
      </c>
      <c r="E3" t="s">
        <v>6</v>
      </c>
      <c r="G3" s="1" t="s">
        <v>10</v>
      </c>
    </row>
    <row r="4" spans="1:18" x14ac:dyDescent="0.2">
      <c r="A4">
        <v>3</v>
      </c>
      <c r="B4">
        <v>1</v>
      </c>
      <c r="C4">
        <v>1</v>
      </c>
      <c r="D4">
        <v>1</v>
      </c>
      <c r="E4" t="s">
        <v>7</v>
      </c>
      <c r="G4" s="1" t="s">
        <v>11</v>
      </c>
      <c r="H4">
        <f ca="1">COUNTIF('Sheet 1'!H:H,1)</f>
        <v>9</v>
      </c>
    </row>
    <row r="5" spans="1:18" x14ac:dyDescent="0.2">
      <c r="A5">
        <v>4</v>
      </c>
      <c r="B5">
        <v>2</v>
      </c>
      <c r="C5">
        <v>2</v>
      </c>
      <c r="D5">
        <v>1</v>
      </c>
      <c r="E5" t="s">
        <v>7</v>
      </c>
      <c r="G5" s="1" t="s">
        <v>12</v>
      </c>
      <c r="H5">
        <f ca="1">COUNTIF('Sheet 1'!H:H,2)</f>
        <v>11</v>
      </c>
    </row>
    <row r="6" spans="1:18" x14ac:dyDescent="0.2">
      <c r="A6">
        <v>5</v>
      </c>
      <c r="B6">
        <v>2</v>
      </c>
      <c r="C6">
        <v>2</v>
      </c>
      <c r="D6">
        <v>1</v>
      </c>
      <c r="E6" t="s">
        <v>6</v>
      </c>
      <c r="G6" s="1" t="s">
        <v>13</v>
      </c>
      <c r="H6">
        <f ca="1">H4+H5</f>
        <v>20</v>
      </c>
    </row>
    <row r="7" spans="1:18" x14ac:dyDescent="0.2">
      <c r="A7">
        <v>6</v>
      </c>
      <c r="B7">
        <v>1</v>
      </c>
      <c r="C7">
        <v>1</v>
      </c>
      <c r="D7">
        <v>1</v>
      </c>
      <c r="E7" t="s">
        <v>6</v>
      </c>
      <c r="G7" s="1" t="s">
        <v>14</v>
      </c>
      <c r="H7">
        <f ca="1">1-((H4/H6)^2+(H5/H6)^2)</f>
        <v>0.49499999999999988</v>
      </c>
      <c r="I7" t="s">
        <v>15</v>
      </c>
    </row>
    <row r="8" spans="1:18" x14ac:dyDescent="0.2">
      <c r="A8">
        <v>7</v>
      </c>
      <c r="B8">
        <v>2</v>
      </c>
      <c r="C8">
        <v>2</v>
      </c>
      <c r="D8">
        <v>2</v>
      </c>
      <c r="E8" t="s">
        <v>5</v>
      </c>
      <c r="G8" s="1"/>
    </row>
    <row r="9" spans="1:18" x14ac:dyDescent="0.2">
      <c r="A9">
        <v>8</v>
      </c>
      <c r="B9">
        <v>1</v>
      </c>
      <c r="C9">
        <v>1</v>
      </c>
      <c r="D9">
        <v>1</v>
      </c>
      <c r="E9" t="s">
        <v>5</v>
      </c>
      <c r="G9" s="1" t="s">
        <v>16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s="1"/>
      <c r="N9" s="1"/>
      <c r="O9" s="1"/>
      <c r="P9" s="1"/>
      <c r="Q9" s="1"/>
      <c r="R9" s="1"/>
    </row>
    <row r="10" spans="1:18" x14ac:dyDescent="0.2">
      <c r="A10">
        <v>9</v>
      </c>
      <c r="B10">
        <v>2</v>
      </c>
      <c r="C10">
        <v>2</v>
      </c>
      <c r="D10">
        <v>1</v>
      </c>
      <c r="E10" t="s">
        <v>8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8" x14ac:dyDescent="0.2">
      <c r="A11">
        <v>10</v>
      </c>
      <c r="B11">
        <v>1</v>
      </c>
      <c r="C11">
        <v>2</v>
      </c>
      <c r="D11">
        <v>2</v>
      </c>
      <c r="E11" t="s">
        <v>6</v>
      </c>
      <c r="G11" s="1" t="s">
        <v>23</v>
      </c>
      <c r="H11">
        <f ca="1">COUNTIFS('Sheet 1'!I:I,1)</f>
        <v>9</v>
      </c>
      <c r="I11">
        <f ca="1">COUNTIFS('Sheet 1'!I:I,1,'Sheet 1'!H:H,1)</f>
        <v>7</v>
      </c>
      <c r="J11">
        <f ca="1">COUNTIFS('Sheet 1'!I:I,1,'Sheet 1'!H:H,2)</f>
        <v>2</v>
      </c>
      <c r="K11">
        <f ca="1">1-((I11/H11)^2+(J11/H11)^2)</f>
        <v>0.34567901234567899</v>
      </c>
      <c r="L11">
        <f ca="1">H11/H6</f>
        <v>0.45</v>
      </c>
    </row>
    <row r="12" spans="1:18" x14ac:dyDescent="0.2">
      <c r="A12">
        <v>11</v>
      </c>
      <c r="B12">
        <v>2</v>
      </c>
      <c r="C12">
        <v>2</v>
      </c>
      <c r="D12">
        <v>2</v>
      </c>
      <c r="E12" t="s">
        <v>7</v>
      </c>
      <c r="G12" s="1" t="s">
        <v>24</v>
      </c>
      <c r="H12">
        <f ca="1">COUNTIFS('Sheet 1'!I:I,2)</f>
        <v>11</v>
      </c>
      <c r="I12">
        <f ca="1">COUNTIFS('Sheet 1'!I:I,2,'Sheet 1'!H:H,1)</f>
        <v>2</v>
      </c>
      <c r="J12">
        <f ca="1">COUNTIFS('Sheet 1'!I:I,2,'Sheet 1'!H:H,2)</f>
        <v>9</v>
      </c>
      <c r="K12">
        <f ca="1">1-((I12/H12)^2+(J12/H12)^2)</f>
        <v>0.29752066115702469</v>
      </c>
      <c r="L12">
        <f ca="1">H12/H6</f>
        <v>0.55000000000000004</v>
      </c>
    </row>
    <row r="13" spans="1:18" x14ac:dyDescent="0.2">
      <c r="A13">
        <v>12</v>
      </c>
      <c r="B13">
        <v>1</v>
      </c>
      <c r="C13">
        <v>1</v>
      </c>
      <c r="D13">
        <v>2</v>
      </c>
      <c r="E13" t="s">
        <v>5</v>
      </c>
      <c r="G13" s="1" t="s">
        <v>25</v>
      </c>
      <c r="H13">
        <f ca="1">SUMPRODUCT(K11:K12,L11:L12)</f>
        <v>0.31919191919191914</v>
      </c>
    </row>
    <row r="14" spans="1:18" x14ac:dyDescent="0.2">
      <c r="A14">
        <v>13</v>
      </c>
      <c r="B14">
        <v>1</v>
      </c>
      <c r="C14">
        <v>1</v>
      </c>
      <c r="D14">
        <v>1</v>
      </c>
      <c r="E14" t="s">
        <v>7</v>
      </c>
      <c r="G14" s="1" t="s">
        <v>26</v>
      </c>
      <c r="H14">
        <f ca="1">H7-H13</f>
        <v>0.17580808080808075</v>
      </c>
    </row>
    <row r="15" spans="1:18" x14ac:dyDescent="0.2">
      <c r="A15">
        <v>14</v>
      </c>
      <c r="B15">
        <v>2</v>
      </c>
      <c r="C15">
        <v>2</v>
      </c>
      <c r="D15">
        <v>2</v>
      </c>
      <c r="E15" t="s">
        <v>6</v>
      </c>
      <c r="G15" s="1"/>
    </row>
    <row r="16" spans="1:18" x14ac:dyDescent="0.2">
      <c r="A16">
        <v>15</v>
      </c>
      <c r="B16">
        <v>2</v>
      </c>
      <c r="C16">
        <v>1</v>
      </c>
      <c r="D16">
        <v>1</v>
      </c>
      <c r="E16" t="s">
        <v>6</v>
      </c>
      <c r="G16" s="1" t="s">
        <v>27</v>
      </c>
      <c r="H16" t="s">
        <v>49</v>
      </c>
      <c r="I16" t="s">
        <v>50</v>
      </c>
      <c r="J16" t="s">
        <v>51</v>
      </c>
      <c r="K16" t="s">
        <v>52</v>
      </c>
      <c r="L16" t="s">
        <v>53</v>
      </c>
      <c r="M16" s="1"/>
      <c r="N16" s="1"/>
      <c r="O16" s="1"/>
      <c r="P16" s="1"/>
      <c r="Q16" s="1"/>
      <c r="R16" s="1"/>
    </row>
    <row r="17" spans="1:18" x14ac:dyDescent="0.2">
      <c r="A17">
        <v>16</v>
      </c>
      <c r="B17">
        <v>2</v>
      </c>
      <c r="C17">
        <v>2</v>
      </c>
      <c r="D17">
        <v>1</v>
      </c>
      <c r="E17" t="s">
        <v>8</v>
      </c>
      <c r="G17" s="1" t="s">
        <v>28</v>
      </c>
      <c r="H17" s="1" t="s">
        <v>18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8" x14ac:dyDescent="0.2">
      <c r="A18">
        <v>17</v>
      </c>
      <c r="B18">
        <v>2</v>
      </c>
      <c r="C18">
        <v>2</v>
      </c>
      <c r="D18">
        <v>1</v>
      </c>
      <c r="E18" t="s">
        <v>8</v>
      </c>
      <c r="G18" s="1" t="s">
        <v>29</v>
      </c>
      <c r="H18">
        <f ca="1">COUNTIFS('Sheet 1'!J:J,1)</f>
        <v>12</v>
      </c>
      <c r="I18">
        <f ca="1">COUNTIFS('Sheet 1'!J:J,1,'Sheet 1'!H:H,1)</f>
        <v>6</v>
      </c>
      <c r="J18">
        <f ca="1">COUNTIFS('Sheet 1'!J:J,1,'Sheet 1'!H:H,2)</f>
        <v>6</v>
      </c>
      <c r="K18">
        <f ca="1">1-((I18/H18)^2+(J18/H18)^2)</f>
        <v>0.5</v>
      </c>
      <c r="L18">
        <f ca="1">H18/H6</f>
        <v>0.6</v>
      </c>
    </row>
    <row r="19" spans="1:18" x14ac:dyDescent="0.2">
      <c r="A19">
        <v>18</v>
      </c>
      <c r="B19">
        <v>1</v>
      </c>
      <c r="C19">
        <v>1</v>
      </c>
      <c r="D19">
        <v>1</v>
      </c>
      <c r="E19" t="s">
        <v>5</v>
      </c>
      <c r="G19" s="1" t="s">
        <v>30</v>
      </c>
      <c r="H19">
        <f ca="1">COUNTIFS('Sheet 1'!J:J,2)</f>
        <v>8</v>
      </c>
      <c r="I19">
        <f ca="1">COUNTIFS('Sheet 1'!J:J,2,'Sheet 1'!H:H,1)</f>
        <v>3</v>
      </c>
      <c r="J19">
        <f ca="1">COUNTIFS('Sheet 1'!J:J,2,'Sheet 1'!H:H,2)</f>
        <v>5</v>
      </c>
      <c r="K19">
        <f ca="1">1-((I19/H19)^2+(J19/H19)^2)</f>
        <v>0.46875</v>
      </c>
      <c r="L19">
        <f ca="1">H19/H6</f>
        <v>0.4</v>
      </c>
    </row>
    <row r="20" spans="1:18" x14ac:dyDescent="0.2">
      <c r="A20">
        <v>19</v>
      </c>
      <c r="B20">
        <v>1</v>
      </c>
      <c r="C20">
        <v>2</v>
      </c>
      <c r="D20">
        <v>1</v>
      </c>
      <c r="E20" t="s">
        <v>6</v>
      </c>
      <c r="G20" s="1" t="s">
        <v>25</v>
      </c>
      <c r="H20">
        <f ca="1">SUMPRODUCT(K18:K19,L18:L19)</f>
        <v>0.48749999999999999</v>
      </c>
    </row>
    <row r="21" spans="1:18" x14ac:dyDescent="0.2">
      <c r="A21">
        <v>20</v>
      </c>
      <c r="B21">
        <v>2</v>
      </c>
      <c r="C21">
        <v>1</v>
      </c>
      <c r="D21">
        <v>2</v>
      </c>
      <c r="E21" t="s">
        <v>8</v>
      </c>
      <c r="G21" s="1" t="s">
        <v>26</v>
      </c>
      <c r="H21">
        <f ca="1">H7-H20</f>
        <v>7.4999999999998956E-3</v>
      </c>
    </row>
    <row r="22" spans="1:18" x14ac:dyDescent="0.2">
      <c r="G22" s="1"/>
    </row>
    <row r="23" spans="1:18" x14ac:dyDescent="0.2">
      <c r="G23" s="1" t="s">
        <v>31</v>
      </c>
      <c r="H23" t="s">
        <v>49</v>
      </c>
      <c r="I23" t="s">
        <v>50</v>
      </c>
      <c r="J23" t="s">
        <v>51</v>
      </c>
      <c r="K23" t="s">
        <v>52</v>
      </c>
      <c r="L23" t="s">
        <v>53</v>
      </c>
      <c r="M23" s="1"/>
      <c r="N23" s="1"/>
      <c r="O23" s="1"/>
      <c r="P23" s="1"/>
      <c r="Q23" s="1"/>
      <c r="R23" s="1"/>
    </row>
    <row r="24" spans="1:18" x14ac:dyDescent="0.2">
      <c r="G24" s="1" t="s">
        <v>32</v>
      </c>
      <c r="H24" s="1" t="s">
        <v>18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8" x14ac:dyDescent="0.2">
      <c r="G25" s="1" t="s">
        <v>8</v>
      </c>
      <c r="H25">
        <f ca="1">COUNTIFS('Sheet 1'!K:K,"Q1")</f>
        <v>4</v>
      </c>
      <c r="I25">
        <f ca="1">COUNTIFS('Sheet 1'!K:K,"Q1",'Sheet 1'!H:H,1)</f>
        <v>0</v>
      </c>
      <c r="J25">
        <f ca="1">COUNTIFS('Sheet 1'!K:K,"Q1",'Sheet 1'!H:H,2)</f>
        <v>4</v>
      </c>
      <c r="K25">
        <f ca="1">IF(H25=0,0,1-((I25/H25)^2+(J25/H25)^2))</f>
        <v>0</v>
      </c>
      <c r="L25">
        <f ca="1">H25/H6</f>
        <v>0.2</v>
      </c>
    </row>
    <row r="26" spans="1:18" x14ac:dyDescent="0.2">
      <c r="G26" s="1" t="s">
        <v>5</v>
      </c>
      <c r="H26">
        <f ca="1">COUNTIFS('Sheet 1'!K:K,"Q2")</f>
        <v>5</v>
      </c>
      <c r="I26">
        <f ca="1">COUNTIFS('Sheet 1'!K:K,"Q2",'Sheet 1'!H:H,1)</f>
        <v>3</v>
      </c>
      <c r="J26">
        <f ca="1">COUNTIFS('Sheet 1'!K:K,"Q2",'Sheet 1'!H:H,2)</f>
        <v>2</v>
      </c>
      <c r="K26">
        <f ca="1">IF(H26=0,0,1-((I26/H26)^2+(J26/H26)^2))</f>
        <v>0.48</v>
      </c>
      <c r="L26">
        <f ca="1">H26/H6</f>
        <v>0.25</v>
      </c>
    </row>
    <row r="27" spans="1:18" x14ac:dyDescent="0.2">
      <c r="G27" s="1" t="s">
        <v>6</v>
      </c>
      <c r="H27">
        <f ca="1">COUNTIFS('Sheet 1'!K:K,"Q3")</f>
        <v>7</v>
      </c>
      <c r="I27">
        <f ca="1">COUNTIFS('Sheet 1'!K:K,"Q3",'Sheet 1'!H:H,1)</f>
        <v>4</v>
      </c>
      <c r="J27">
        <f ca="1">COUNTIFS('Sheet 1'!K:K,"Q3",'Sheet 1'!H:H,2)</f>
        <v>3</v>
      </c>
      <c r="K27">
        <f ca="1">IF(H27=0,0,1-((I27/H27)^2+(J27/H27)^2))</f>
        <v>0.48979591836734704</v>
      </c>
      <c r="L27">
        <f ca="1">H27/H6</f>
        <v>0.35</v>
      </c>
    </row>
    <row r="28" spans="1:18" x14ac:dyDescent="0.2">
      <c r="G28" s="1" t="s">
        <v>7</v>
      </c>
      <c r="H28">
        <f ca="1">COUNTIFS('Sheet 1'!K:K,"Q4")</f>
        <v>4</v>
      </c>
      <c r="I28">
        <f ca="1">COUNTIFS('Sheet 1'!K:K,"Q3",'Sheet 1'!H:H,1)</f>
        <v>4</v>
      </c>
      <c r="J28">
        <f ca="1">COUNTIFS('Sheet 1'!K:K,"Q3",'Sheet 1'!H:H,2)</f>
        <v>3</v>
      </c>
      <c r="K28">
        <f ca="1">IF(H28=0,0,1-((I28/H28)^2+(J28/H28)^2))</f>
        <v>-0.5625</v>
      </c>
      <c r="L28">
        <f ca="1">H28/H6</f>
        <v>0.2</v>
      </c>
    </row>
    <row r="29" spans="1:18" x14ac:dyDescent="0.2">
      <c r="G29" s="1" t="s">
        <v>25</v>
      </c>
      <c r="H29">
        <f ca="1">SUMPRODUCT(K25:K28,L25:L28)</f>
        <v>0.17892857142857149</v>
      </c>
    </row>
    <row r="30" spans="1:18" x14ac:dyDescent="0.2">
      <c r="G30" s="1" t="s">
        <v>26</v>
      </c>
      <c r="H30">
        <f ca="1">H7-H29</f>
        <v>0.31607142857142839</v>
      </c>
    </row>
    <row r="31" spans="1:18" x14ac:dyDescent="0.2">
      <c r="G31" s="1"/>
      <c r="M31" s="1"/>
      <c r="N31" s="1"/>
      <c r="O31" s="1"/>
      <c r="P31" s="1"/>
      <c r="Q31" s="1"/>
      <c r="R31" s="1"/>
    </row>
    <row r="32" spans="1:18" x14ac:dyDescent="0.2">
      <c r="G32" s="1" t="s">
        <v>33</v>
      </c>
      <c r="H32" s="1" t="s">
        <v>49</v>
      </c>
      <c r="I32" s="1" t="s">
        <v>50</v>
      </c>
      <c r="J32" s="1" t="s">
        <v>51</v>
      </c>
      <c r="K32" s="1"/>
      <c r="L32" s="1"/>
      <c r="M32" s="1"/>
      <c r="N32" s="1"/>
      <c r="O32" s="1"/>
      <c r="P32" s="1"/>
      <c r="Q32" s="1"/>
      <c r="R32" s="1"/>
    </row>
    <row r="33" spans="7:18" x14ac:dyDescent="0.2">
      <c r="G33" s="1" t="s">
        <v>34</v>
      </c>
      <c r="H33" s="1" t="s">
        <v>25</v>
      </c>
      <c r="I33" s="1" t="s">
        <v>26</v>
      </c>
      <c r="J33" s="1" t="s">
        <v>35</v>
      </c>
      <c r="K33" s="1"/>
      <c r="L33" s="1"/>
    </row>
    <row r="34" spans="7:18" x14ac:dyDescent="0.2">
      <c r="G34" s="1" t="s">
        <v>2</v>
      </c>
      <c r="H34">
        <f ca="1">H13</f>
        <v>0.31919191919191914</v>
      </c>
      <c r="I34">
        <f ca="1">H14</f>
        <v>0.17580808080808075</v>
      </c>
      <c r="J34">
        <f ca="1">RANK(I34,$C$35:$C$37,0)</f>
        <v>2</v>
      </c>
    </row>
    <row r="35" spans="7:18" x14ac:dyDescent="0.2">
      <c r="G35" s="1" t="s">
        <v>3</v>
      </c>
      <c r="H35">
        <f ca="1">H20</f>
        <v>0.48749999999999999</v>
      </c>
      <c r="I35">
        <f ca="1">H21</f>
        <v>7.4999999999998956E-3</v>
      </c>
      <c r="J35">
        <f ca="1">RANK(I35,$C$35:$C$37,0)</f>
        <v>3</v>
      </c>
    </row>
    <row r="36" spans="7:18" x14ac:dyDescent="0.2">
      <c r="G36" s="1" t="s">
        <v>4</v>
      </c>
      <c r="H36">
        <f ca="1">H29</f>
        <v>0.17892857142857149</v>
      </c>
      <c r="I36">
        <f ca="1">H30</f>
        <v>0.31607142857142839</v>
      </c>
      <c r="J36">
        <f ca="1">RANK(I36,$C$35:$C$37,0)</f>
        <v>1</v>
      </c>
    </row>
    <row r="37" spans="7:18" x14ac:dyDescent="0.2">
      <c r="G37" s="1"/>
    </row>
    <row r="38" spans="7:18" x14ac:dyDescent="0.2">
      <c r="G38" s="1" t="s">
        <v>36</v>
      </c>
      <c r="H38" t="s">
        <v>49</v>
      </c>
      <c r="I38" t="s">
        <v>50</v>
      </c>
      <c r="J38" t="s">
        <v>51</v>
      </c>
      <c r="K38" t="s">
        <v>52</v>
      </c>
      <c r="L38" t="s">
        <v>53</v>
      </c>
      <c r="M38" t="s">
        <v>54</v>
      </c>
      <c r="N38" t="s">
        <v>55</v>
      </c>
      <c r="O38" t="s">
        <v>56</v>
      </c>
      <c r="P38" t="s">
        <v>57</v>
      </c>
      <c r="Q38" t="s">
        <v>58</v>
      </c>
      <c r="R38" t="s">
        <v>59</v>
      </c>
    </row>
    <row r="39" spans="7:18" x14ac:dyDescent="0.2">
      <c r="G39" s="1" t="s">
        <v>34</v>
      </c>
      <c r="H39" s="1" t="s">
        <v>37</v>
      </c>
      <c r="I39" s="1" t="s">
        <v>38</v>
      </c>
      <c r="J39" s="1" t="s">
        <v>39</v>
      </c>
      <c r="K39" s="1" t="s">
        <v>40</v>
      </c>
      <c r="L39" s="1" t="s">
        <v>41</v>
      </c>
      <c r="M39" s="1" t="s">
        <v>42</v>
      </c>
      <c r="N39" s="1" t="s">
        <v>43</v>
      </c>
      <c r="O39" s="1" t="s">
        <v>44</v>
      </c>
      <c r="P39" s="1" t="s">
        <v>47</v>
      </c>
      <c r="Q39" s="1" t="s">
        <v>45</v>
      </c>
      <c r="R39" s="2" t="s">
        <v>48</v>
      </c>
    </row>
    <row r="40" spans="7:18" x14ac:dyDescent="0.2">
      <c r="G40" s="1" t="s">
        <v>2</v>
      </c>
      <c r="H40">
        <f ca="1">(I11/H11)</f>
        <v>0.77777777777777779</v>
      </c>
      <c r="I40">
        <f ca="1">(I12/H12)</f>
        <v>0.18181818181818182</v>
      </c>
      <c r="J40">
        <f ca="1">H11/H6</f>
        <v>0.45</v>
      </c>
      <c r="K40">
        <f ca="1">H12/H6</f>
        <v>0.55000000000000004</v>
      </c>
      <c r="L40">
        <f ca="1">J11/H11</f>
        <v>0.22222222222222221</v>
      </c>
      <c r="M40">
        <f ca="1">I11/H11</f>
        <v>0.77777777777777779</v>
      </c>
      <c r="N40">
        <f ca="1">J12/H12</f>
        <v>0.81818181818181823</v>
      </c>
      <c r="O40">
        <f ca="1">I12/H12</f>
        <v>0.18181818181818182</v>
      </c>
      <c r="P40">
        <f ca="1">2*J40*K40</f>
        <v>0.49500000000000005</v>
      </c>
      <c r="Q40">
        <f ca="1">ABS(H40-I40)</f>
        <v>0.59595959595959602</v>
      </c>
      <c r="R40">
        <f ca="1">P40*Q40</f>
        <v>0.29500000000000004</v>
      </c>
    </row>
    <row r="41" spans="7:18" x14ac:dyDescent="0.2">
      <c r="G41" s="1" t="s">
        <v>3</v>
      </c>
      <c r="H41">
        <f ca="1">(I18/H18)</f>
        <v>0.5</v>
      </c>
      <c r="I41">
        <f ca="1">(I19/H19)</f>
        <v>0.375</v>
      </c>
      <c r="J41">
        <f ca="1">H18/H6</f>
        <v>0.6</v>
      </c>
      <c r="K41">
        <f ca="1">H19/H6</f>
        <v>0.4</v>
      </c>
      <c r="L41">
        <f ca="1">J18/H18</f>
        <v>0.5</v>
      </c>
      <c r="M41">
        <f ca="1">I18/H18</f>
        <v>0.5</v>
      </c>
      <c r="N41">
        <f ca="1">J19/H19</f>
        <v>0.625</v>
      </c>
      <c r="O41">
        <f ca="1">I19/H19</f>
        <v>0.375</v>
      </c>
      <c r="P41">
        <f ca="1">2*J41*K41</f>
        <v>0.48</v>
      </c>
      <c r="Q41">
        <f ca="1">ABS(H41-I41)</f>
        <v>0.125</v>
      </c>
      <c r="R41">
        <f ca="1">P41*Q41</f>
        <v>0.06</v>
      </c>
    </row>
    <row r="42" spans="7:18" x14ac:dyDescent="0.2">
      <c r="G42" s="1" t="s">
        <v>4</v>
      </c>
      <c r="H42">
        <f ca="1">I25/H25</f>
        <v>0</v>
      </c>
      <c r="I42">
        <f ca="1">(I26+I27+I28)/(H26+H27+H28)</f>
        <v>0.6875</v>
      </c>
      <c r="J42">
        <f ca="1">H25/H6</f>
        <v>0.2</v>
      </c>
      <c r="K42">
        <f ca="1">(H26+H27+H28)/H6</f>
        <v>0.8</v>
      </c>
      <c r="L42">
        <f ca="1">J25/H25</f>
        <v>1</v>
      </c>
      <c r="M42">
        <f ca="1">I25/H25</f>
        <v>0</v>
      </c>
      <c r="N42">
        <f ca="1">(J26+J27+J28)/(H26+H27+H28)</f>
        <v>0.5</v>
      </c>
      <c r="O42">
        <f ca="1">(I26+I27+I28)/(H26+H27+H28)</f>
        <v>0.6875</v>
      </c>
      <c r="P42">
        <f ca="1">2*J42*K42</f>
        <v>0.32000000000000006</v>
      </c>
      <c r="Q42">
        <f ca="1">ABS(H42-I42)</f>
        <v>0.6875</v>
      </c>
      <c r="R42">
        <f ca="1">P42*Q42</f>
        <v>0.22000000000000003</v>
      </c>
    </row>
    <row r="43" spans="7:18" x14ac:dyDescent="0.2">
      <c r="G43" s="1"/>
    </row>
    <row r="44" spans="7:18" x14ac:dyDescent="0.2">
      <c r="G44" s="1" t="s">
        <v>46</v>
      </c>
      <c r="H44" s="1" t="str">
        <f ca="1">INDEX($A$41:$A$45,MATCH(MAX($L$40:$L$43),$L$40:$L$43,0))</f>
        <v>STEROID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Dhandharia</dc:creator>
  <cp:lastModifiedBy>Ankit Dhandharia</cp:lastModifiedBy>
  <dcterms:created xsi:type="dcterms:W3CDTF">2025-03-17T02:22:09Z</dcterms:created>
  <dcterms:modified xsi:type="dcterms:W3CDTF">2025-03-17T03:38:50Z</dcterms:modified>
</cp:coreProperties>
</file>