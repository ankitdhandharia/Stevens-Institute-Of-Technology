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cuments/"/>
    </mc:Choice>
  </mc:AlternateContent>
  <xr:revisionPtr revIDLastSave="0" documentId="13_ncr:1_{83812859-1598-0C4C-8351-FE3BAC7DA6B4}" xr6:coauthVersionLast="47" xr6:coauthVersionMax="47" xr10:uidLastSave="{00000000-0000-0000-0000-000000000000}"/>
  <bookViews>
    <workbookView xWindow="0" yWindow="500" windowWidth="28800" windowHeight="16260" activeTab="1" xr2:uid="{1FEA0AF6-42A7-E440-8462-1577060D078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D27" i="2"/>
  <c r="C28" i="2"/>
  <c r="D28" i="2"/>
  <c r="C29" i="2"/>
  <c r="D29" i="2"/>
  <c r="C55" i="2"/>
  <c r="D55" i="2"/>
  <c r="C56" i="2"/>
  <c r="D56" i="2"/>
  <c r="C57" i="2"/>
  <c r="D57" i="2"/>
  <c r="C108" i="2"/>
  <c r="D108" i="2"/>
  <c r="C109" i="2"/>
  <c r="D109" i="2"/>
  <c r="C110" i="2"/>
  <c r="D110" i="2"/>
  <c r="C136" i="2"/>
  <c r="D136" i="2"/>
  <c r="C137" i="2"/>
  <c r="D137" i="2"/>
  <c r="C138" i="2"/>
  <c r="D138" i="2"/>
  <c r="B3" i="3"/>
  <c r="B4" i="3"/>
  <c r="B5" i="3"/>
  <c r="B6" i="3"/>
  <c r="B2" i="3"/>
  <c r="C112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11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83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30" i="2"/>
  <c r="D2" i="2"/>
  <c r="D80" i="2"/>
  <c r="D81" i="2"/>
  <c r="D82" i="2"/>
  <c r="D75" i="2"/>
  <c r="D76" i="2"/>
  <c r="D77" i="2"/>
  <c r="D78" i="2"/>
  <c r="D79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5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M31" i="1"/>
  <c r="L31" i="1"/>
  <c r="K31" i="1"/>
  <c r="J31" i="1"/>
  <c r="M30" i="1"/>
  <c r="L30" i="1"/>
  <c r="K30" i="1"/>
  <c r="J30" i="1"/>
  <c r="M29" i="1"/>
  <c r="C107" i="2" s="1"/>
  <c r="L29" i="1"/>
  <c r="K29" i="1"/>
  <c r="J29" i="1"/>
  <c r="C134" i="2" s="1"/>
  <c r="M28" i="1"/>
  <c r="L28" i="1"/>
  <c r="K28" i="1"/>
  <c r="J28" i="1"/>
  <c r="C133" i="2" s="1"/>
  <c r="M27" i="1"/>
  <c r="C132" i="2" s="1"/>
  <c r="L27" i="1"/>
  <c r="K27" i="1"/>
  <c r="C54" i="2" s="1"/>
  <c r="J27" i="1"/>
  <c r="C81" i="2" s="1"/>
  <c r="M26" i="1"/>
  <c r="L26" i="1"/>
  <c r="K26" i="1"/>
  <c r="J26" i="1"/>
  <c r="C26" i="2" s="1"/>
  <c r="M25" i="1"/>
  <c r="L25" i="1"/>
  <c r="K25" i="1"/>
  <c r="J25" i="1"/>
  <c r="C52" i="2" s="1"/>
  <c r="M24" i="1"/>
  <c r="L24" i="1"/>
  <c r="K24" i="1"/>
  <c r="J24" i="1"/>
  <c r="C129" i="2" s="1"/>
  <c r="M23" i="1"/>
  <c r="C50" i="2" s="1"/>
  <c r="L23" i="1"/>
  <c r="K23" i="1"/>
  <c r="J23" i="1"/>
  <c r="C101" i="2" s="1"/>
  <c r="M22" i="1"/>
  <c r="L22" i="1"/>
  <c r="K22" i="1"/>
  <c r="J22" i="1"/>
  <c r="C76" i="2" s="1"/>
  <c r="M21" i="1"/>
  <c r="C48" i="2" s="1"/>
  <c r="L21" i="1"/>
  <c r="K21" i="1"/>
  <c r="J21" i="1"/>
  <c r="C126" i="2" s="1"/>
  <c r="M20" i="1"/>
  <c r="L20" i="1"/>
  <c r="K20" i="1"/>
  <c r="J20" i="1"/>
  <c r="C125" i="2" s="1"/>
  <c r="M19" i="1"/>
  <c r="C124" i="2" s="1"/>
  <c r="L19" i="1"/>
  <c r="K19" i="1"/>
  <c r="J19" i="1"/>
  <c r="C46" i="2" s="1"/>
  <c r="M18" i="1"/>
  <c r="L18" i="1"/>
  <c r="K18" i="1"/>
  <c r="J18" i="1"/>
  <c r="C69" i="2" s="1"/>
  <c r="M17" i="1"/>
  <c r="L17" i="1"/>
  <c r="K17" i="1"/>
  <c r="J17" i="1"/>
  <c r="C44" i="2" s="1"/>
  <c r="M16" i="1"/>
  <c r="L16" i="1"/>
  <c r="K16" i="1"/>
  <c r="J16" i="1"/>
  <c r="C121" i="2" s="1"/>
  <c r="M15" i="1"/>
  <c r="C120" i="2" s="1"/>
  <c r="L15" i="1"/>
  <c r="K15" i="1"/>
  <c r="J15" i="1"/>
  <c r="C93" i="2" s="1"/>
  <c r="M14" i="1"/>
  <c r="L14" i="1"/>
  <c r="K14" i="1"/>
  <c r="J14" i="1"/>
  <c r="C41" i="2" s="1"/>
  <c r="M13" i="1"/>
  <c r="C91" i="2" s="1"/>
  <c r="L13" i="1"/>
  <c r="K13" i="1"/>
  <c r="J13" i="1"/>
  <c r="C67" i="2" s="1"/>
  <c r="M12" i="1"/>
  <c r="L12" i="1"/>
  <c r="K12" i="1"/>
  <c r="J12" i="1"/>
  <c r="C117" i="2" s="1"/>
  <c r="M11" i="1"/>
  <c r="C89" i="2" s="1"/>
  <c r="L11" i="1"/>
  <c r="K11" i="1"/>
  <c r="J11" i="1"/>
  <c r="C38" i="2" s="1"/>
  <c r="M10" i="1"/>
  <c r="L10" i="1"/>
  <c r="K10" i="1"/>
  <c r="J10" i="1"/>
  <c r="C37" i="2" s="1"/>
  <c r="M9" i="1"/>
  <c r="L9" i="1"/>
  <c r="K9" i="1"/>
  <c r="J9" i="1"/>
  <c r="C36" i="2" s="1"/>
  <c r="M8" i="1"/>
  <c r="L8" i="1"/>
  <c r="K8" i="1"/>
  <c r="J8" i="1"/>
  <c r="C113" i="2" s="1"/>
  <c r="M7" i="1"/>
  <c r="C34" i="2" s="1"/>
  <c r="L7" i="1"/>
  <c r="K7" i="1"/>
  <c r="J7" i="1"/>
  <c r="C85" i="2" s="1"/>
  <c r="M6" i="1"/>
  <c r="L6" i="1"/>
  <c r="K6" i="1"/>
  <c r="J6" i="1"/>
  <c r="C6" i="2" s="1"/>
  <c r="M5" i="1"/>
  <c r="C32" i="2" s="1"/>
  <c r="L5" i="1"/>
  <c r="K5" i="1"/>
  <c r="J5" i="1"/>
  <c r="C59" i="2" s="1"/>
  <c r="M4" i="1"/>
  <c r="L4" i="1"/>
  <c r="K4" i="1"/>
  <c r="J4" i="1"/>
  <c r="C4" i="2" s="1"/>
  <c r="M3" i="1"/>
  <c r="C30" i="2" s="1"/>
  <c r="L3" i="1"/>
  <c r="K3" i="1"/>
  <c r="J3" i="1"/>
  <c r="C3" i="2" s="1"/>
  <c r="M2" i="1"/>
  <c r="L2" i="1"/>
  <c r="K2" i="1"/>
  <c r="J2" i="1"/>
  <c r="C2" i="2" s="1"/>
  <c r="J3" i="3" l="1"/>
  <c r="F3" i="3"/>
  <c r="C97" i="2"/>
  <c r="C135" i="2"/>
  <c r="C127" i="2"/>
  <c r="C119" i="2"/>
  <c r="C25" i="2"/>
  <c r="C17" i="2"/>
  <c r="C5" i="2"/>
  <c r="K2" i="3" s="1"/>
  <c r="C39" i="2"/>
  <c r="C31" i="2"/>
  <c r="D3" i="3" s="1"/>
  <c r="C64" i="2"/>
  <c r="C82" i="2"/>
  <c r="C96" i="2"/>
  <c r="C23" i="2"/>
  <c r="C19" i="2"/>
  <c r="C15" i="2"/>
  <c r="C11" i="2"/>
  <c r="C7" i="2"/>
  <c r="C51" i="2"/>
  <c r="C43" i="2"/>
  <c r="C35" i="2"/>
  <c r="K3" i="3" s="1"/>
  <c r="C74" i="2"/>
  <c r="C70" i="2"/>
  <c r="C66" i="2"/>
  <c r="C62" i="2"/>
  <c r="C79" i="2"/>
  <c r="C75" i="2"/>
  <c r="C80" i="2"/>
  <c r="C100" i="2"/>
  <c r="C92" i="2"/>
  <c r="C84" i="2"/>
  <c r="C14" i="2"/>
  <c r="C73" i="2"/>
  <c r="C65" i="2"/>
  <c r="C106" i="2"/>
  <c r="C115" i="2"/>
  <c r="C42" i="2"/>
  <c r="C40" i="2"/>
  <c r="C131" i="2"/>
  <c r="C13" i="2"/>
  <c r="C72" i="2"/>
  <c r="C77" i="2"/>
  <c r="C104" i="2"/>
  <c r="C88" i="2"/>
  <c r="C58" i="2"/>
  <c r="C83" i="2"/>
  <c r="C103" i="2"/>
  <c r="C95" i="2"/>
  <c r="C87" i="2"/>
  <c r="C130" i="2"/>
  <c r="C122" i="2"/>
  <c r="C118" i="2"/>
  <c r="C114" i="2"/>
  <c r="C99" i="2"/>
  <c r="C128" i="2"/>
  <c r="C116" i="2"/>
  <c r="C22" i="2"/>
  <c r="C10" i="2"/>
  <c r="D2" i="3" s="1"/>
  <c r="C49" i="2"/>
  <c r="C33" i="2"/>
  <c r="G3" i="3" s="1"/>
  <c r="C61" i="2"/>
  <c r="C90" i="2"/>
  <c r="C105" i="2"/>
  <c r="C111" i="2"/>
  <c r="C123" i="2"/>
  <c r="C21" i="2"/>
  <c r="C9" i="2"/>
  <c r="C47" i="2"/>
  <c r="C68" i="2"/>
  <c r="C60" i="2"/>
  <c r="C24" i="2"/>
  <c r="C20" i="2"/>
  <c r="C16" i="2"/>
  <c r="C12" i="2"/>
  <c r="C8" i="2"/>
  <c r="C53" i="2"/>
  <c r="C45" i="2"/>
  <c r="C71" i="2"/>
  <c r="C63" i="2"/>
  <c r="C102" i="2"/>
  <c r="C94" i="2"/>
  <c r="C86" i="2"/>
  <c r="C18" i="2"/>
  <c r="C78" i="2"/>
  <c r="C98" i="2"/>
  <c r="E3" i="3" l="1"/>
  <c r="E2" i="3"/>
  <c r="H3" i="3"/>
  <c r="J2" i="3"/>
  <c r="C4" i="3"/>
  <c r="G4" i="3"/>
  <c r="F4" i="3"/>
  <c r="L4" i="3"/>
  <c r="K4" i="3"/>
  <c r="J4" i="3"/>
  <c r="D4" i="3"/>
  <c r="E4" i="3" s="1"/>
  <c r="L3" i="3"/>
  <c r="M3" i="3" s="1"/>
  <c r="F2" i="3"/>
  <c r="C3" i="3"/>
  <c r="L5" i="3"/>
  <c r="F5" i="3"/>
  <c r="K5" i="3"/>
  <c r="D5" i="3"/>
  <c r="E5" i="3" s="1"/>
  <c r="J5" i="3"/>
  <c r="C5" i="3"/>
  <c r="G5" i="3"/>
  <c r="C2" i="3"/>
  <c r="K6" i="3"/>
  <c r="D6" i="3"/>
  <c r="E6" i="3" s="1"/>
  <c r="J6" i="3"/>
  <c r="C6" i="3"/>
  <c r="F6" i="3"/>
  <c r="L6" i="3"/>
  <c r="G6" i="3"/>
  <c r="L2" i="3"/>
  <c r="G2" i="3"/>
  <c r="H4" i="3" l="1"/>
  <c r="I4" i="3" s="1"/>
  <c r="H5" i="3"/>
  <c r="I5" i="3" s="1"/>
  <c r="M5" i="3"/>
  <c r="N5" i="3" s="1"/>
  <c r="H6" i="3"/>
  <c r="I6" i="3" s="1"/>
  <c r="M4" i="3"/>
  <c r="N4" i="3" s="1"/>
  <c r="H2" i="3"/>
  <c r="M6" i="3"/>
  <c r="N6" i="3" s="1"/>
  <c r="I3" i="3"/>
  <c r="M2" i="3"/>
  <c r="N3" i="3"/>
  <c r="B2" i="4"/>
  <c r="C2" i="4"/>
  <c r="E2" i="4"/>
  <c r="D2" i="4"/>
  <c r="E3" i="4" l="1"/>
  <c r="B3" i="4"/>
  <c r="B4" i="4"/>
  <c r="E4" i="4"/>
  <c r="G2" i="4"/>
  <c r="F2" i="4"/>
  <c r="H2" i="4"/>
  <c r="I2" i="3"/>
  <c r="C3" i="4"/>
  <c r="D3" i="4"/>
  <c r="H3" i="4"/>
  <c r="D4" i="4"/>
  <c r="C4" i="4"/>
  <c r="N2" i="3"/>
  <c r="H4" i="4" l="1"/>
  <c r="G4" i="4"/>
  <c r="G3" i="4"/>
  <c r="F3" i="4"/>
  <c r="F4" i="4"/>
  <c r="I3" i="4"/>
  <c r="I4" i="4"/>
  <c r="I2" i="4"/>
</calcChain>
</file>

<file path=xl/sharedStrings.xml><?xml version="1.0" encoding="utf-8"?>
<sst xmlns="http://schemas.openxmlformats.org/spreadsheetml/2006/main" count="192" uniqueCount="75">
  <si>
    <t>Row #</t>
  </si>
  <si>
    <t>Class</t>
  </si>
  <si>
    <t>AGE</t>
  </si>
  <si>
    <t>LIVER_FIRM</t>
  </si>
  <si>
    <t>BILIRUBIN</t>
  </si>
  <si>
    <t>ALBUMIN</t>
  </si>
  <si>
    <t xml:space="preserve"> </t>
  </si>
  <si>
    <t>Min=</t>
  </si>
  <si>
    <t>Max=</t>
  </si>
  <si>
    <t>Test 1</t>
  </si>
  <si>
    <t>Training 1</t>
  </si>
  <si>
    <t>age_norm</t>
  </si>
  <si>
    <t>LIVER_FIRM_NORM</t>
  </si>
  <si>
    <t>BILIRUBIN_NORM</t>
  </si>
  <si>
    <t>ALBUMIN_NORM</t>
  </si>
  <si>
    <t>Training 2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</si>
  <si>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</si>
  <si>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</si>
  <si>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</si>
  <si>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</si>
  <si>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</si>
  <si>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</si>
  <si>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</si>
  <si>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</si>
  <si>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Training 11</t>
  </si>
  <si>
    <t>Training 12</t>
  </si>
  <si>
    <t>Training 13</t>
  </si>
  <si>
    <t>Training 14</t>
  </si>
  <si>
    <t>Training 15</t>
  </si>
  <si>
    <t>Training 16</t>
  </si>
  <si>
    <t>Training 17</t>
  </si>
  <si>
    <t>Training 18</t>
  </si>
  <si>
    <t>Training 19</t>
  </si>
  <si>
    <t>Training 20</t>
  </si>
  <si>
    <t>Training 21</t>
  </si>
  <si>
    <t>Training 22</t>
  </si>
  <si>
    <t>Training 23</t>
  </si>
  <si>
    <t>Training 24</t>
  </si>
  <si>
    <t>Training 25</t>
  </si>
  <si>
    <t>Training 26</t>
  </si>
  <si>
    <t>Training 27</t>
  </si>
  <si>
    <t>Training 28</t>
  </si>
  <si>
    <t>Test 2</t>
  </si>
  <si>
    <t>Test 3</t>
  </si>
  <si>
    <t>Test 4</t>
  </si>
  <si>
    <t>Test 5</t>
  </si>
  <si>
    <t>Test Instance</t>
  </si>
  <si>
    <t>Actual Class</t>
  </si>
  <si>
    <t>k=1 Nearest</t>
  </si>
  <si>
    <t>k=1 Class</t>
  </si>
  <si>
    <t>k=1 Correct?</t>
  </si>
  <si>
    <t>k=2 N1 Class</t>
  </si>
  <si>
    <t>k=2 N2 Class</t>
  </si>
  <si>
    <t>k=2 Prediction</t>
  </si>
  <si>
    <t>k=2 Correct?</t>
  </si>
  <si>
    <t>k=3 N1 Class</t>
  </si>
  <si>
    <t>k=3 N2 Class</t>
  </si>
  <si>
    <t>k=3 N3 Class</t>
  </si>
  <si>
    <t>k=3 Prediction</t>
  </si>
  <si>
    <t>k=3 Correct?</t>
  </si>
  <si>
    <t>K=1</t>
  </si>
  <si>
    <t>K=2</t>
  </si>
  <si>
    <t>K=3</t>
  </si>
  <si>
    <t>k Value</t>
  </si>
  <si>
    <t>TP</t>
  </si>
  <si>
    <t>FP</t>
  </si>
  <si>
    <t>TN</t>
  </si>
  <si>
    <t>FN</t>
  </si>
  <si>
    <t>Accuracy</t>
  </si>
  <si>
    <t>Precision</t>
  </si>
  <si>
    <t>Recall</t>
  </si>
  <si>
    <t>F1 Score</t>
  </si>
  <si>
    <t>Distance</t>
  </si>
  <si>
    <t>Training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</si>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</sst>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4CEA-0F94-FA4B-B469-AE00DE311B2F}">
  <dimension ref="A1:T34"/>
  <sheetViews>
    <sheetView workbookViewId="0">
      <selection activeCell="J2" sqref="J2"/>
    </sheetView>
  </sheetViews>
  <sheetFormatPr baseColWidth="10" defaultRowHeight="16" x14ac:dyDescent="0.2"/>
  <cols>
    <col min="10" max="13" width="10.83203125" style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20" x14ac:dyDescent="0.2">
      <c r="A2">
        <v>1</v>
      </c>
      <c r="B2">
        <v>2</v>
      </c>
      <c r="C2">
        <v>38</v>
      </c>
      <c r="D2">
        <v>1</v>
      </c>
      <c r="E2">
        <v>0.7</v>
      </c>
      <c r="F2">
        <v>4.2</v>
      </c>
      <c r="H2">
        <v>1</v>
      </c>
      <c r="I2">
        <v>2</v>
      </c>
      <c r="J2">
        <f>(C2-0)/(100-0)</f>
        <v>0.38</v>
      </c>
      <c r="K2">
        <f>(D2-1)/(2-1)</f>
        <v>0</v>
      </c>
      <c r="L2">
        <f>(E2-0)/(5-0)</f>
        <v>0.13999999999999999</v>
      </c>
      <c r="M2">
        <f>(F2-0)/(5-0)</f>
        <v>0.84000000000000008</v>
      </c>
    </row>
    <row r="3" spans="1:20" x14ac:dyDescent="0.2">
      <c r="A3">
        <v>2</v>
      </c>
      <c r="B3">
        <v>1</v>
      </c>
      <c r="C3">
        <v>47</v>
      </c>
      <c r="D3">
        <v>1</v>
      </c>
      <c r="E3">
        <v>1</v>
      </c>
      <c r="F3">
        <v>2.6</v>
      </c>
      <c r="H3">
        <v>2</v>
      </c>
      <c r="I3">
        <v>1</v>
      </c>
      <c r="J3">
        <f t="shared" ref="J3:J31" si="0">(C3-0)/(100-0)</f>
        <v>0.47</v>
      </c>
      <c r="K3">
        <f t="shared" ref="K3:K31" si="1">(D3-1)/(2-1)</f>
        <v>0</v>
      </c>
      <c r="L3">
        <f t="shared" ref="L3:M31" si="2">(E3-0)/(5-0)</f>
        <v>0.2</v>
      </c>
      <c r="M3">
        <f t="shared" si="2"/>
        <v>0.52</v>
      </c>
    </row>
    <row r="4" spans="1:20" x14ac:dyDescent="0.2">
      <c r="A4">
        <v>3</v>
      </c>
      <c r="B4">
        <v>1</v>
      </c>
      <c r="C4">
        <v>47</v>
      </c>
      <c r="D4">
        <v>1</v>
      </c>
      <c r="E4">
        <v>1.7</v>
      </c>
      <c r="F4">
        <v>2.1</v>
      </c>
      <c r="H4">
        <v>3</v>
      </c>
      <c r="I4">
        <v>1</v>
      </c>
      <c r="J4">
        <f t="shared" si="0"/>
        <v>0.47</v>
      </c>
      <c r="K4">
        <f t="shared" si="1"/>
        <v>0</v>
      </c>
      <c r="L4">
        <f t="shared" si="2"/>
        <v>0.33999999999999997</v>
      </c>
      <c r="M4">
        <f t="shared" si="2"/>
        <v>0.42000000000000004</v>
      </c>
      <c r="T4" t="s">
        <v>6</v>
      </c>
    </row>
    <row r="5" spans="1:20" x14ac:dyDescent="0.2">
      <c r="A5">
        <v>4</v>
      </c>
      <c r="B5">
        <v>2</v>
      </c>
      <c r="C5">
        <v>38</v>
      </c>
      <c r="D5">
        <v>2</v>
      </c>
      <c r="E5">
        <v>0.7</v>
      </c>
      <c r="F5">
        <v>4.0999999999999996</v>
      </c>
      <c r="H5">
        <v>4</v>
      </c>
      <c r="I5">
        <v>2</v>
      </c>
      <c r="J5">
        <f t="shared" si="0"/>
        <v>0.38</v>
      </c>
      <c r="K5">
        <f t="shared" si="1"/>
        <v>1</v>
      </c>
      <c r="L5">
        <f t="shared" si="2"/>
        <v>0.13999999999999999</v>
      </c>
      <c r="M5">
        <f t="shared" si="2"/>
        <v>0.82</v>
      </c>
    </row>
    <row r="6" spans="1:20" x14ac:dyDescent="0.2">
      <c r="A6">
        <v>5</v>
      </c>
      <c r="B6">
        <v>1</v>
      </c>
      <c r="C6">
        <v>48</v>
      </c>
      <c r="D6">
        <v>1</v>
      </c>
      <c r="E6">
        <v>4.8</v>
      </c>
      <c r="F6">
        <v>2.7</v>
      </c>
      <c r="H6">
        <v>5</v>
      </c>
      <c r="I6">
        <v>1</v>
      </c>
      <c r="J6">
        <f t="shared" si="0"/>
        <v>0.48</v>
      </c>
      <c r="K6">
        <f t="shared" si="1"/>
        <v>0</v>
      </c>
      <c r="L6">
        <f t="shared" si="2"/>
        <v>0.96</v>
      </c>
      <c r="M6">
        <f t="shared" si="2"/>
        <v>0.54</v>
      </c>
    </row>
    <row r="7" spans="1:20" x14ac:dyDescent="0.2">
      <c r="A7">
        <v>6</v>
      </c>
      <c r="B7">
        <v>1</v>
      </c>
      <c r="C7">
        <v>42</v>
      </c>
      <c r="D7">
        <v>2</v>
      </c>
      <c r="E7">
        <v>0.5</v>
      </c>
      <c r="F7">
        <v>3.8</v>
      </c>
      <c r="H7">
        <v>6</v>
      </c>
      <c r="I7">
        <v>1</v>
      </c>
      <c r="J7">
        <f t="shared" si="0"/>
        <v>0.42</v>
      </c>
      <c r="K7">
        <f t="shared" si="1"/>
        <v>1</v>
      </c>
      <c r="L7">
        <f t="shared" si="2"/>
        <v>0.1</v>
      </c>
      <c r="M7">
        <f t="shared" si="2"/>
        <v>0.76</v>
      </c>
    </row>
    <row r="8" spans="1:20" x14ac:dyDescent="0.2">
      <c r="A8">
        <v>7</v>
      </c>
      <c r="B8">
        <v>1</v>
      </c>
      <c r="C8">
        <v>41</v>
      </c>
      <c r="D8">
        <v>1</v>
      </c>
      <c r="E8">
        <v>4.2</v>
      </c>
      <c r="F8">
        <v>3.4</v>
      </c>
      <c r="H8">
        <v>7</v>
      </c>
      <c r="I8">
        <v>1</v>
      </c>
      <c r="J8">
        <f t="shared" si="0"/>
        <v>0.41</v>
      </c>
      <c r="K8">
        <f t="shared" si="1"/>
        <v>0</v>
      </c>
      <c r="L8">
        <f t="shared" si="2"/>
        <v>0.84000000000000008</v>
      </c>
      <c r="M8">
        <f t="shared" si="2"/>
        <v>0.67999999999999994</v>
      </c>
    </row>
    <row r="9" spans="1:20" x14ac:dyDescent="0.2">
      <c r="A9">
        <v>8</v>
      </c>
      <c r="B9">
        <v>1</v>
      </c>
      <c r="C9">
        <v>38</v>
      </c>
      <c r="D9">
        <v>1</v>
      </c>
      <c r="E9">
        <v>0.4</v>
      </c>
      <c r="F9">
        <v>3.8</v>
      </c>
      <c r="H9">
        <v>8</v>
      </c>
      <c r="I9">
        <v>1</v>
      </c>
      <c r="J9">
        <f t="shared" si="0"/>
        <v>0.38</v>
      </c>
      <c r="K9">
        <f t="shared" si="1"/>
        <v>0</v>
      </c>
      <c r="L9">
        <f t="shared" si="2"/>
        <v>0.08</v>
      </c>
      <c r="M9">
        <f t="shared" si="2"/>
        <v>0.76</v>
      </c>
    </row>
    <row r="10" spans="1:20" x14ac:dyDescent="0.2">
      <c r="A10">
        <v>9</v>
      </c>
      <c r="B10">
        <v>2</v>
      </c>
      <c r="C10">
        <v>34</v>
      </c>
      <c r="D10">
        <v>2</v>
      </c>
      <c r="E10">
        <v>0.9</v>
      </c>
      <c r="F10">
        <v>4</v>
      </c>
      <c r="H10">
        <v>9</v>
      </c>
      <c r="I10">
        <v>2</v>
      </c>
      <c r="J10">
        <f t="shared" si="0"/>
        <v>0.34</v>
      </c>
      <c r="K10">
        <f t="shared" si="1"/>
        <v>1</v>
      </c>
      <c r="L10">
        <f t="shared" si="2"/>
        <v>0.18</v>
      </c>
      <c r="M10">
        <f t="shared" si="2"/>
        <v>0.8</v>
      </c>
    </row>
    <row r="11" spans="1:20" x14ac:dyDescent="0.2">
      <c r="A11">
        <v>10</v>
      </c>
      <c r="B11">
        <v>1</v>
      </c>
      <c r="C11">
        <v>33</v>
      </c>
      <c r="D11">
        <v>2</v>
      </c>
      <c r="E11">
        <v>0.7</v>
      </c>
      <c r="F11">
        <v>3</v>
      </c>
      <c r="H11">
        <v>10</v>
      </c>
      <c r="I11">
        <v>1</v>
      </c>
      <c r="J11">
        <f t="shared" si="0"/>
        <v>0.33</v>
      </c>
      <c r="K11">
        <f t="shared" si="1"/>
        <v>1</v>
      </c>
      <c r="L11">
        <f t="shared" si="2"/>
        <v>0.13999999999999999</v>
      </c>
      <c r="M11">
        <f t="shared" si="2"/>
        <v>0.6</v>
      </c>
    </row>
    <row r="12" spans="1:20" x14ac:dyDescent="0.2">
      <c r="A12">
        <v>11</v>
      </c>
      <c r="B12">
        <v>1</v>
      </c>
      <c r="C12">
        <v>50</v>
      </c>
      <c r="D12">
        <v>1</v>
      </c>
      <c r="E12">
        <v>2.8</v>
      </c>
      <c r="F12">
        <v>2.4</v>
      </c>
      <c r="H12">
        <v>11</v>
      </c>
      <c r="I12">
        <v>1</v>
      </c>
      <c r="J12">
        <f t="shared" si="0"/>
        <v>0.5</v>
      </c>
      <c r="K12">
        <f t="shared" si="1"/>
        <v>0</v>
      </c>
      <c r="L12">
        <f t="shared" si="2"/>
        <v>0.55999999999999994</v>
      </c>
      <c r="M12">
        <f t="shared" si="2"/>
        <v>0.48</v>
      </c>
    </row>
    <row r="13" spans="1:20" x14ac:dyDescent="0.2">
      <c r="A13">
        <v>12</v>
      </c>
      <c r="B13">
        <v>2</v>
      </c>
      <c r="C13">
        <v>38</v>
      </c>
      <c r="D13">
        <v>2</v>
      </c>
      <c r="E13">
        <v>2</v>
      </c>
      <c r="F13">
        <v>2.9</v>
      </c>
      <c r="H13">
        <v>12</v>
      </c>
      <c r="I13">
        <v>2</v>
      </c>
      <c r="J13">
        <f t="shared" si="0"/>
        <v>0.38</v>
      </c>
      <c r="K13">
        <f t="shared" si="1"/>
        <v>1</v>
      </c>
      <c r="L13">
        <f t="shared" si="2"/>
        <v>0.4</v>
      </c>
      <c r="M13">
        <f t="shared" si="2"/>
        <v>0.57999999999999996</v>
      </c>
    </row>
    <row r="14" spans="1:20" x14ac:dyDescent="0.2">
      <c r="A14">
        <v>13</v>
      </c>
      <c r="B14">
        <v>2</v>
      </c>
      <c r="C14">
        <v>27</v>
      </c>
      <c r="D14">
        <v>2</v>
      </c>
      <c r="E14">
        <v>0.8</v>
      </c>
      <c r="F14">
        <v>3.8</v>
      </c>
      <c r="H14">
        <v>13</v>
      </c>
      <c r="I14">
        <v>2</v>
      </c>
      <c r="J14">
        <f t="shared" si="0"/>
        <v>0.27</v>
      </c>
      <c r="K14">
        <f t="shared" si="1"/>
        <v>1</v>
      </c>
      <c r="L14">
        <f t="shared" si="2"/>
        <v>0.16</v>
      </c>
      <c r="M14">
        <f t="shared" si="2"/>
        <v>0.76</v>
      </c>
    </row>
    <row r="15" spans="1:20" x14ac:dyDescent="0.2">
      <c r="A15">
        <v>14</v>
      </c>
      <c r="B15">
        <v>2</v>
      </c>
      <c r="C15">
        <v>78</v>
      </c>
      <c r="D15">
        <v>2</v>
      </c>
      <c r="E15">
        <v>0.7</v>
      </c>
      <c r="F15">
        <v>4</v>
      </c>
      <c r="H15">
        <v>14</v>
      </c>
      <c r="I15">
        <v>2</v>
      </c>
      <c r="J15">
        <f t="shared" si="0"/>
        <v>0.78</v>
      </c>
      <c r="K15">
        <f t="shared" si="1"/>
        <v>1</v>
      </c>
      <c r="L15">
        <f t="shared" si="2"/>
        <v>0.13999999999999999</v>
      </c>
      <c r="M15">
        <f t="shared" si="2"/>
        <v>0.8</v>
      </c>
    </row>
    <row r="16" spans="1:20" x14ac:dyDescent="0.2">
      <c r="A16">
        <v>15</v>
      </c>
      <c r="B16">
        <v>2</v>
      </c>
      <c r="C16">
        <v>40</v>
      </c>
      <c r="D16">
        <v>1</v>
      </c>
      <c r="E16">
        <v>0.6</v>
      </c>
      <c r="F16">
        <v>4</v>
      </c>
      <c r="H16">
        <v>15</v>
      </c>
      <c r="I16">
        <v>2</v>
      </c>
      <c r="J16">
        <f t="shared" si="0"/>
        <v>0.4</v>
      </c>
      <c r="K16">
        <f t="shared" si="1"/>
        <v>0</v>
      </c>
      <c r="L16">
        <f t="shared" si="2"/>
        <v>0.12</v>
      </c>
      <c r="M16">
        <f t="shared" si="2"/>
        <v>0.8</v>
      </c>
    </row>
    <row r="17" spans="1:13" x14ac:dyDescent="0.2">
      <c r="A17">
        <v>16</v>
      </c>
      <c r="B17">
        <v>2</v>
      </c>
      <c r="C17">
        <v>30</v>
      </c>
      <c r="D17">
        <v>1</v>
      </c>
      <c r="E17">
        <v>2.2000000000000002</v>
      </c>
      <c r="F17">
        <v>4.9000000000000004</v>
      </c>
      <c r="H17">
        <v>16</v>
      </c>
      <c r="I17">
        <v>2</v>
      </c>
      <c r="J17">
        <f t="shared" si="0"/>
        <v>0.3</v>
      </c>
      <c r="K17">
        <f t="shared" si="1"/>
        <v>0</v>
      </c>
      <c r="L17">
        <f t="shared" si="2"/>
        <v>0.44000000000000006</v>
      </c>
      <c r="M17">
        <f t="shared" si="2"/>
        <v>0.98000000000000009</v>
      </c>
    </row>
    <row r="18" spans="1:13" x14ac:dyDescent="0.2">
      <c r="A18">
        <v>17</v>
      </c>
      <c r="B18">
        <v>1</v>
      </c>
      <c r="C18">
        <v>43</v>
      </c>
      <c r="D18">
        <v>2</v>
      </c>
      <c r="E18">
        <v>1.2</v>
      </c>
      <c r="F18">
        <v>3.1</v>
      </c>
      <c r="H18">
        <v>17</v>
      </c>
      <c r="I18">
        <v>1</v>
      </c>
      <c r="J18">
        <f t="shared" si="0"/>
        <v>0.43</v>
      </c>
      <c r="K18">
        <f t="shared" si="1"/>
        <v>1</v>
      </c>
      <c r="L18">
        <f t="shared" si="2"/>
        <v>0.24</v>
      </c>
      <c r="M18">
        <f t="shared" si="2"/>
        <v>0.62</v>
      </c>
    </row>
    <row r="19" spans="1:13" x14ac:dyDescent="0.2">
      <c r="A19">
        <v>18</v>
      </c>
      <c r="B19">
        <v>2</v>
      </c>
      <c r="C19">
        <v>50</v>
      </c>
      <c r="D19">
        <v>2</v>
      </c>
      <c r="E19">
        <v>0.9</v>
      </c>
      <c r="F19">
        <v>3.5</v>
      </c>
      <c r="H19">
        <v>18</v>
      </c>
      <c r="I19">
        <v>2</v>
      </c>
      <c r="J19">
        <f t="shared" si="0"/>
        <v>0.5</v>
      </c>
      <c r="K19">
        <f t="shared" si="1"/>
        <v>1</v>
      </c>
      <c r="L19">
        <f t="shared" si="2"/>
        <v>0.18</v>
      </c>
      <c r="M19">
        <f t="shared" si="2"/>
        <v>0.7</v>
      </c>
    </row>
    <row r="20" spans="1:13" x14ac:dyDescent="0.2">
      <c r="A20">
        <v>19</v>
      </c>
      <c r="B20">
        <v>2</v>
      </c>
      <c r="C20">
        <v>25</v>
      </c>
      <c r="D20">
        <v>2</v>
      </c>
      <c r="E20">
        <v>0.4</v>
      </c>
      <c r="F20">
        <v>4.3</v>
      </c>
      <c r="H20">
        <v>19</v>
      </c>
      <c r="I20">
        <v>2</v>
      </c>
      <c r="J20">
        <f t="shared" si="0"/>
        <v>0.25</v>
      </c>
      <c r="K20">
        <f t="shared" si="1"/>
        <v>1</v>
      </c>
      <c r="L20">
        <f t="shared" si="2"/>
        <v>0.08</v>
      </c>
      <c r="M20">
        <f t="shared" si="2"/>
        <v>0.86</v>
      </c>
    </row>
    <row r="21" spans="1:13" x14ac:dyDescent="0.2">
      <c r="A21">
        <v>20</v>
      </c>
      <c r="B21">
        <v>1</v>
      </c>
      <c r="C21">
        <v>58</v>
      </c>
      <c r="D21">
        <v>1</v>
      </c>
      <c r="E21">
        <v>2</v>
      </c>
      <c r="F21">
        <v>3.3</v>
      </c>
      <c r="H21">
        <v>20</v>
      </c>
      <c r="I21">
        <v>1</v>
      </c>
      <c r="J21">
        <f t="shared" si="0"/>
        <v>0.57999999999999996</v>
      </c>
      <c r="K21">
        <f t="shared" si="1"/>
        <v>0</v>
      </c>
      <c r="L21">
        <f t="shared" si="2"/>
        <v>0.4</v>
      </c>
      <c r="M21">
        <f t="shared" si="2"/>
        <v>0.65999999999999992</v>
      </c>
    </row>
    <row r="22" spans="1:13" x14ac:dyDescent="0.2">
      <c r="A22">
        <v>21</v>
      </c>
      <c r="B22">
        <v>1</v>
      </c>
      <c r="C22">
        <v>59</v>
      </c>
      <c r="D22">
        <v>1</v>
      </c>
      <c r="E22">
        <v>1.5</v>
      </c>
      <c r="F22">
        <v>3.6</v>
      </c>
      <c r="H22">
        <v>21</v>
      </c>
      <c r="I22">
        <v>1</v>
      </c>
      <c r="J22">
        <f t="shared" si="0"/>
        <v>0.59</v>
      </c>
      <c r="K22">
        <f t="shared" si="1"/>
        <v>0</v>
      </c>
      <c r="L22">
        <f t="shared" si="2"/>
        <v>0.3</v>
      </c>
      <c r="M22">
        <f t="shared" si="2"/>
        <v>0.72</v>
      </c>
    </row>
    <row r="23" spans="1:13" x14ac:dyDescent="0.2">
      <c r="A23">
        <v>22</v>
      </c>
      <c r="B23">
        <v>1</v>
      </c>
      <c r="C23">
        <v>57</v>
      </c>
      <c r="D23">
        <v>2</v>
      </c>
      <c r="E23">
        <v>4.5999999999999996</v>
      </c>
      <c r="F23">
        <v>3.3</v>
      </c>
      <c r="H23">
        <v>22</v>
      </c>
      <c r="I23">
        <v>1</v>
      </c>
      <c r="J23">
        <f t="shared" si="0"/>
        <v>0.56999999999999995</v>
      </c>
      <c r="K23">
        <f t="shared" si="1"/>
        <v>1</v>
      </c>
      <c r="L23">
        <f t="shared" si="2"/>
        <v>0.91999999999999993</v>
      </c>
      <c r="M23">
        <f t="shared" si="2"/>
        <v>0.65999999999999992</v>
      </c>
    </row>
    <row r="24" spans="1:13" x14ac:dyDescent="0.2">
      <c r="A24">
        <v>23</v>
      </c>
      <c r="B24">
        <v>2</v>
      </c>
      <c r="C24">
        <v>42</v>
      </c>
      <c r="D24">
        <v>2</v>
      </c>
      <c r="E24">
        <v>0.9</v>
      </c>
      <c r="F24">
        <v>4.7</v>
      </c>
      <c r="H24">
        <v>23</v>
      </c>
      <c r="I24">
        <v>2</v>
      </c>
      <c r="J24">
        <f t="shared" si="0"/>
        <v>0.42</v>
      </c>
      <c r="K24">
        <f t="shared" si="1"/>
        <v>1</v>
      </c>
      <c r="L24">
        <f t="shared" si="2"/>
        <v>0.18</v>
      </c>
      <c r="M24">
        <f t="shared" si="2"/>
        <v>0.94000000000000006</v>
      </c>
    </row>
    <row r="25" spans="1:13" x14ac:dyDescent="0.2">
      <c r="A25">
        <v>24</v>
      </c>
      <c r="B25">
        <v>2</v>
      </c>
      <c r="C25">
        <v>39</v>
      </c>
      <c r="D25">
        <v>1</v>
      </c>
      <c r="E25">
        <v>1.3</v>
      </c>
      <c r="F25">
        <v>4.4000000000000004</v>
      </c>
      <c r="H25">
        <v>24</v>
      </c>
      <c r="I25">
        <v>2</v>
      </c>
      <c r="J25">
        <f t="shared" si="0"/>
        <v>0.39</v>
      </c>
      <c r="K25">
        <f t="shared" si="1"/>
        <v>0</v>
      </c>
      <c r="L25">
        <f t="shared" si="2"/>
        <v>0.26</v>
      </c>
      <c r="M25">
        <f t="shared" si="2"/>
        <v>0.88000000000000012</v>
      </c>
    </row>
    <row r="26" spans="1:13" x14ac:dyDescent="0.2">
      <c r="A26">
        <v>25</v>
      </c>
      <c r="B26">
        <v>2</v>
      </c>
      <c r="C26">
        <v>58</v>
      </c>
      <c r="D26">
        <v>1</v>
      </c>
      <c r="E26">
        <v>1.4</v>
      </c>
      <c r="F26">
        <v>2.7</v>
      </c>
      <c r="H26">
        <v>25</v>
      </c>
      <c r="I26">
        <v>2</v>
      </c>
      <c r="J26">
        <f t="shared" si="0"/>
        <v>0.57999999999999996</v>
      </c>
      <c r="K26">
        <f t="shared" si="1"/>
        <v>0</v>
      </c>
      <c r="L26">
        <f t="shared" si="2"/>
        <v>0.27999999999999997</v>
      </c>
      <c r="M26">
        <f t="shared" si="2"/>
        <v>0.54</v>
      </c>
    </row>
    <row r="27" spans="1:13" x14ac:dyDescent="0.2">
      <c r="A27">
        <v>26</v>
      </c>
      <c r="B27">
        <v>2</v>
      </c>
      <c r="C27">
        <v>32</v>
      </c>
      <c r="D27">
        <v>1</v>
      </c>
      <c r="E27">
        <v>1</v>
      </c>
      <c r="F27">
        <v>3.7</v>
      </c>
      <c r="H27">
        <v>26</v>
      </c>
      <c r="I27">
        <v>2</v>
      </c>
      <c r="J27">
        <f t="shared" si="0"/>
        <v>0.32</v>
      </c>
      <c r="K27">
        <f t="shared" si="1"/>
        <v>0</v>
      </c>
      <c r="L27">
        <f t="shared" si="2"/>
        <v>0.2</v>
      </c>
      <c r="M27">
        <f t="shared" si="2"/>
        <v>0.74</v>
      </c>
    </row>
    <row r="28" spans="1:13" x14ac:dyDescent="0.2">
      <c r="A28">
        <v>27</v>
      </c>
      <c r="B28">
        <v>1</v>
      </c>
      <c r="C28">
        <v>56</v>
      </c>
      <c r="D28">
        <v>1</v>
      </c>
      <c r="E28">
        <v>2.9</v>
      </c>
      <c r="F28">
        <v>4</v>
      </c>
      <c r="H28">
        <v>27</v>
      </c>
      <c r="I28">
        <v>1</v>
      </c>
      <c r="J28">
        <f t="shared" si="0"/>
        <v>0.56000000000000005</v>
      </c>
      <c r="K28">
        <f t="shared" si="1"/>
        <v>0</v>
      </c>
      <c r="L28">
        <f t="shared" si="2"/>
        <v>0.57999999999999996</v>
      </c>
      <c r="M28">
        <f t="shared" si="2"/>
        <v>0.8</v>
      </c>
    </row>
    <row r="29" spans="1:13" x14ac:dyDescent="0.2">
      <c r="A29">
        <v>28</v>
      </c>
      <c r="B29">
        <v>2</v>
      </c>
      <c r="C29">
        <v>66</v>
      </c>
      <c r="D29">
        <v>2</v>
      </c>
      <c r="E29">
        <v>1.2</v>
      </c>
      <c r="F29">
        <v>4.3</v>
      </c>
      <c r="H29">
        <v>28</v>
      </c>
      <c r="I29">
        <v>2</v>
      </c>
      <c r="J29">
        <f t="shared" si="0"/>
        <v>0.66</v>
      </c>
      <c r="K29">
        <f t="shared" si="1"/>
        <v>1</v>
      </c>
      <c r="L29">
        <f t="shared" si="2"/>
        <v>0.24</v>
      </c>
      <c r="M29">
        <f t="shared" si="2"/>
        <v>0.86</v>
      </c>
    </row>
    <row r="30" spans="1:13" x14ac:dyDescent="0.2">
      <c r="A30">
        <v>29</v>
      </c>
      <c r="B30">
        <v>1</v>
      </c>
      <c r="C30">
        <v>37</v>
      </c>
      <c r="D30">
        <v>2</v>
      </c>
      <c r="E30">
        <v>0.6</v>
      </c>
      <c r="F30">
        <v>4.2</v>
      </c>
      <c r="H30">
        <v>29</v>
      </c>
      <c r="I30">
        <v>1</v>
      </c>
      <c r="J30">
        <f t="shared" si="0"/>
        <v>0.37</v>
      </c>
      <c r="K30">
        <f t="shared" si="1"/>
        <v>1</v>
      </c>
      <c r="L30">
        <f t="shared" si="2"/>
        <v>0.12</v>
      </c>
      <c r="M30">
        <f t="shared" si="2"/>
        <v>0.84000000000000008</v>
      </c>
    </row>
    <row r="31" spans="1:13" x14ac:dyDescent="0.2">
      <c r="A31">
        <v>30</v>
      </c>
      <c r="B31">
        <v>2</v>
      </c>
      <c r="C31">
        <v>22</v>
      </c>
      <c r="D31">
        <v>2</v>
      </c>
      <c r="E31">
        <v>0.9</v>
      </c>
      <c r="F31">
        <v>4.2</v>
      </c>
      <c r="H31">
        <v>30</v>
      </c>
      <c r="I31">
        <v>2</v>
      </c>
      <c r="J31">
        <f t="shared" si="0"/>
        <v>0.22</v>
      </c>
      <c r="K31">
        <f t="shared" si="1"/>
        <v>1</v>
      </c>
      <c r="L31">
        <f t="shared" si="2"/>
        <v>0.18</v>
      </c>
      <c r="M31">
        <f t="shared" si="2"/>
        <v>0.84000000000000008</v>
      </c>
    </row>
    <row r="33" spans="1:6" x14ac:dyDescent="0.2">
      <c r="A33" t="s">
        <v>7</v>
      </c>
      <c r="C33">
        <v>0</v>
      </c>
      <c r="D33">
        <v>1</v>
      </c>
      <c r="E33">
        <v>0</v>
      </c>
      <c r="F33">
        <v>0</v>
      </c>
    </row>
    <row r="34" spans="1:6" x14ac:dyDescent="0.2">
      <c r="A34" t="s">
        <v>8</v>
      </c>
      <c r="C34">
        <v>100</v>
      </c>
      <c r="D34">
        <v>2</v>
      </c>
      <c r="E34">
        <v>5</v>
      </c>
      <c r="F3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2BE9-0E88-6140-80C8-1C28D3B14DB4}">
  <dimension ref="A1:D138"/>
  <sheetViews>
    <sheetView tabSelected="1" workbookViewId="0">
      <selection activeCell="G27" sqref="G27"/>
    </sheetView>
  </sheetViews>
  <sheetFormatPr baseColWidth="10" defaultRowHeight="16" x14ac:dyDescent="0.2"/>
  <cols>
    <col min="1" max="1" width="5.83203125" bestFit="1" customWidth="1"/>
    <col min="2" max="2" width="8.83203125" bestFit="1" customWidth="1"/>
    <col min="3" max="3" width="19.33203125" bestFit="1" customWidth="1"/>
    <col min="4" max="4" width="12.6640625" bestFit="1" customWidth="1"/>
  </cols>
  <sheetData>
    <row r="1" spans="1:4" x14ac:dyDescent="0.2">
      <c r="A1" t="s">
        <v>74</v>
      </c>
      <c r="B1" t="s">
        <v>73</v>
      </c>
      <c r="C1" s="2" t="s">
        <v>72</v>
      </c>
      <c r="D1" s="2" t="s">
        <v>1</v>
      </c>
    </row>
    <row r="2" spans="1:4" x14ac:dyDescent="0.2">
      <c r="A2" t="s">
        <v>9</v>
      </c>
      <c r="B2" t="s">
        <v>10</v>
      </c>
      <c r="C2">
        <f>SQRT((Sheet1!J2-Sheet1!J7)^2+(Sheet1!K2-Sheet1!K7)^2+(Sheet1!L2-Sheet1!L7)^2+(Sheet1!M2-Sheet1!M7)^2)</f>
        <v>1.0047885349664376</v>
      </c>
      <c r="D2">
        <f>Sheet1!I7</f>
        <v>1</v>
      </c>
    </row>
    <row r="3" spans="1:4" x14ac:dyDescent="0.2">
      <c r="B3" t="s">
        <v>15</v>
      </c>
      <c r="C3">
        <f>SQRT((Sheet1!J3-Sheet1!J8)^2+(Sheet1!K3-Sheet1!K8)^2+(Sheet1!L3-Sheet1!L8)^2+(Sheet1!M3-Sheet1!M8)^2)</f>
        <v>0.66241980646716792</v>
      </c>
      <c r="D3">
        <f>Sheet1!I8</f>
        <v>1</v>
      </c>
    </row>
    <row r="4" spans="1:4" x14ac:dyDescent="0.2">
      <c r="B4" t="s">
        <v>16</v>
      </c>
      <c r="C4">
        <f>SQRT((Sheet1!J4-Sheet1!J9)^2+(Sheet1!K4-Sheet1!K9)^2+(Sheet1!L4-Sheet1!L9)^2+(Sheet1!M4-Sheet1!M9)^2)</f>
        <v>0.43737855457258074</v>
      </c>
      <c r="D4">
        <f>Sheet1!I9</f>
        <v>1</v>
      </c>
    </row>
    <row r="5" spans="1:4" x14ac:dyDescent="0.2">
      <c r="B5" t="s">
        <v>17</v>
      </c>
      <c r="C5">
        <f>SQRT((Sheet1!J5-Sheet1!J10)^2+(Sheet1!K5-Sheet1!K10)^2+(Sheet1!L5-Sheet1!L10)^2+(Sheet1!M5-Sheet1!M10)^2)</f>
        <v>5.9999999999999956E-2</v>
      </c>
      <c r="D5">
        <f>Sheet1!I10</f>
        <v>2</v>
      </c>
    </row>
    <row r="6" spans="1:4" x14ac:dyDescent="0.2">
      <c r="B6" t="s">
        <v>18</v>
      </c>
      <c r="C6">
        <f>SQRT((Sheet1!J6-Sheet1!J11)^2+(Sheet1!K6-Sheet1!K11)^2+(Sheet1!L6-Sheet1!L11)^2+(Sheet1!M6-Sheet1!M11)^2)</f>
        <v>1.3032651303552933</v>
      </c>
      <c r="D6">
        <f>Sheet1!I11</f>
        <v>1</v>
      </c>
    </row>
    <row r="7" spans="1:4" x14ac:dyDescent="0.2">
      <c r="B7" t="s">
        <v>19</v>
      </c>
      <c r="C7">
        <f>SQRT((Sheet1!J7-Sheet1!J12)^2+(Sheet1!K7-Sheet1!K12)^2+(Sheet1!L7-Sheet1!L12)^2+(Sheet1!M7-Sheet1!M12)^2)</f>
        <v>1.1385956261992227</v>
      </c>
      <c r="D7">
        <f>Sheet1!I12</f>
        <v>1</v>
      </c>
    </row>
    <row r="8" spans="1:4" x14ac:dyDescent="0.2">
      <c r="B8" t="s">
        <v>20</v>
      </c>
      <c r="C8">
        <f>SQRT((Sheet1!J8-Sheet1!J13)^2+(Sheet1!K8-Sheet1!K13)^2+(Sheet1!L8-Sheet1!L13)^2+(Sheet1!M8-Sheet1!M13)^2)</f>
        <v>1.0974971526158963</v>
      </c>
      <c r="D8">
        <f>Sheet1!I13</f>
        <v>2</v>
      </c>
    </row>
    <row r="9" spans="1:4" x14ac:dyDescent="0.2">
      <c r="B9" t="s">
        <v>21</v>
      </c>
      <c r="C9">
        <f>SQRT((Sheet1!J9-Sheet1!J14)^2+(Sheet1!K9-Sheet1!K14)^2+(Sheet1!L9-Sheet1!L14)^2+(Sheet1!M9-Sheet1!M14)^2)</f>
        <v>1.0092076099594176</v>
      </c>
      <c r="D9">
        <f>Sheet1!I14</f>
        <v>2</v>
      </c>
    </row>
    <row r="10" spans="1:4" x14ac:dyDescent="0.2">
      <c r="B10" t="s">
        <v>22</v>
      </c>
      <c r="C10">
        <f>SQRT((Sheet1!J10-Sheet1!J15)^2+(Sheet1!K10-Sheet1!K15)^2+(Sheet1!L10-Sheet1!L15)^2+(Sheet1!M10-Sheet1!M15)^2)</f>
        <v>0.44181444068749043</v>
      </c>
      <c r="D10">
        <f>Sheet1!I15</f>
        <v>2</v>
      </c>
    </row>
    <row r="11" spans="1:4" x14ac:dyDescent="0.2">
      <c r="B11" t="s">
        <v>23</v>
      </c>
      <c r="C11">
        <f>SQRT((Sheet1!J11-Sheet1!J16)^2+(Sheet1!K11-Sheet1!K16)^2+(Sheet1!L11-Sheet1!L16)^2+(Sheet1!M11-Sheet1!M16)^2)</f>
        <v>1.0223991392797629</v>
      </c>
      <c r="D11">
        <f>Sheet1!I16</f>
        <v>2</v>
      </c>
    </row>
    <row r="12" spans="1:4" x14ac:dyDescent="0.2">
      <c r="B12" t="s">
        <v>24</v>
      </c>
      <c r="C12">
        <f>SQRT((Sheet1!J12-Sheet1!J17)^2+(Sheet1!K12-Sheet1!K17)^2+(Sheet1!L12-Sheet1!L17)^2+(Sheet1!M12-Sheet1!M17)^2)</f>
        <v>0.55172456896534894</v>
      </c>
      <c r="D12">
        <f>Sheet1!I17</f>
        <v>2</v>
      </c>
    </row>
    <row r="13" spans="1:4" x14ac:dyDescent="0.2">
      <c r="B13" t="s">
        <v>25</v>
      </c>
      <c r="C13">
        <f>SQRT((Sheet1!J13-Sheet1!J18)^2+(Sheet1!K13-Sheet1!K18)^2+(Sheet1!L13-Sheet1!L18)^2+(Sheet1!M13-Sheet1!M18)^2)</f>
        <v>0.1723368793961409</v>
      </c>
      <c r="D13">
        <f>Sheet1!I18</f>
        <v>1</v>
      </c>
    </row>
    <row r="14" spans="1:4" x14ac:dyDescent="0.2">
      <c r="B14" t="s">
        <v>26</v>
      </c>
      <c r="C14">
        <f>SQRT((Sheet1!J14-Sheet1!J19)^2+(Sheet1!K14-Sheet1!K19)^2+(Sheet1!L14-Sheet1!L19)^2+(Sheet1!M14-Sheet1!M19)^2)</f>
        <v>0.23853720883753124</v>
      </c>
      <c r="D14">
        <f>Sheet1!I19</f>
        <v>2</v>
      </c>
    </row>
    <row r="15" spans="1:4" x14ac:dyDescent="0.2">
      <c r="B15" t="s">
        <v>27</v>
      </c>
      <c r="C15">
        <f>SQRT((Sheet1!J15-Sheet1!J20)^2+(Sheet1!K15-Sheet1!K20)^2+(Sheet1!L15-Sheet1!L20)^2+(Sheet1!M15-Sheet1!M20)^2)</f>
        <v>0.53674947601278566</v>
      </c>
      <c r="D15">
        <f>Sheet1!I20</f>
        <v>2</v>
      </c>
    </row>
    <row r="16" spans="1:4" x14ac:dyDescent="0.2">
      <c r="B16" t="s">
        <v>28</v>
      </c>
      <c r="C16">
        <f>SQRT((Sheet1!J16-Sheet1!J21)^2+(Sheet1!K16-Sheet1!K21)^2+(Sheet1!L16-Sheet1!L21)^2+(Sheet1!M16-Sheet1!M21)^2)</f>
        <v>0.36110940170535577</v>
      </c>
      <c r="D16">
        <f>Sheet1!I21</f>
        <v>1</v>
      </c>
    </row>
    <row r="17" spans="1:4" x14ac:dyDescent="0.2">
      <c r="B17" t="s">
        <v>29</v>
      </c>
      <c r="C17">
        <f>SQRT((Sheet1!J17-Sheet1!J22)^2+(Sheet1!K17-Sheet1!K22)^2+(Sheet1!L17-Sheet1!L22)^2+(Sheet1!M17-Sheet1!M22)^2)</f>
        <v>0.41388404173149762</v>
      </c>
      <c r="D17">
        <f>Sheet1!I22</f>
        <v>1</v>
      </c>
    </row>
    <row r="18" spans="1:4" x14ac:dyDescent="0.2">
      <c r="B18" t="s">
        <v>30</v>
      </c>
      <c r="C18">
        <f>SQRT((Sheet1!J18-Sheet1!J23)^2+(Sheet1!K18-Sheet1!K23)^2+(Sheet1!L18-Sheet1!L23)^2+(Sheet1!M18-Sheet1!M23)^2)</f>
        <v>0.69541354602854832</v>
      </c>
      <c r="D18">
        <f>Sheet1!I23</f>
        <v>1</v>
      </c>
    </row>
    <row r="19" spans="1:4" x14ac:dyDescent="0.2">
      <c r="B19" t="s">
        <v>31</v>
      </c>
      <c r="C19">
        <f>SQRT((Sheet1!J19-Sheet1!J24)^2+(Sheet1!K19-Sheet1!K24)^2+(Sheet1!L19-Sheet1!L24)^2+(Sheet1!M19-Sheet1!M24)^2)</f>
        <v>0.25298221281347044</v>
      </c>
      <c r="D19">
        <f>Sheet1!I24</f>
        <v>2</v>
      </c>
    </row>
    <row r="20" spans="1:4" x14ac:dyDescent="0.2">
      <c r="B20" t="s">
        <v>32</v>
      </c>
      <c r="C20">
        <f>SQRT((Sheet1!J20-Sheet1!J25)^2+(Sheet1!K20-Sheet1!K25)^2+(Sheet1!L20-Sheet1!L25)^2+(Sheet1!M20-Sheet1!M25)^2)</f>
        <v>1.0258654882585727</v>
      </c>
      <c r="D20">
        <f>Sheet1!I25</f>
        <v>2</v>
      </c>
    </row>
    <row r="21" spans="1:4" x14ac:dyDescent="0.2">
      <c r="B21" t="s">
        <v>33</v>
      </c>
      <c r="C21">
        <f>SQRT((Sheet1!J21-Sheet1!J26)^2+(Sheet1!K21-Sheet1!K26)^2+(Sheet1!L21-Sheet1!L26)^2+(Sheet1!M21-Sheet1!M26)^2)</f>
        <v>0.16970562748477136</v>
      </c>
      <c r="D21">
        <f>Sheet1!I26</f>
        <v>2</v>
      </c>
    </row>
    <row r="22" spans="1:4" x14ac:dyDescent="0.2">
      <c r="B22" t="s">
        <v>34</v>
      </c>
      <c r="C22">
        <f>SQRT((Sheet1!J22-Sheet1!J27)^2+(Sheet1!K22-Sheet1!K27)^2+(Sheet1!L22-Sheet1!L27)^2+(Sheet1!M22-Sheet1!M27)^2)</f>
        <v>0.2886173937932362</v>
      </c>
      <c r="D22">
        <f>Sheet1!I27</f>
        <v>2</v>
      </c>
    </row>
    <row r="23" spans="1:4" x14ac:dyDescent="0.2">
      <c r="B23" t="s">
        <v>35</v>
      </c>
      <c r="C23">
        <f>SQRT((Sheet1!J23-Sheet1!J28)^2+(Sheet1!K23-Sheet1!K28)^2+(Sheet1!L23-Sheet1!L28)^2+(Sheet1!M23-Sheet1!M28)^2)</f>
        <v>1.0655045753069294</v>
      </c>
      <c r="D23">
        <f>Sheet1!I28</f>
        <v>1</v>
      </c>
    </row>
    <row r="24" spans="1:4" x14ac:dyDescent="0.2">
      <c r="B24" t="s">
        <v>36</v>
      </c>
      <c r="C24">
        <f>SQRT((Sheet1!J24-Sheet1!J29)^2+(Sheet1!K24-Sheet1!K29)^2+(Sheet1!L24-Sheet1!L29)^2+(Sheet1!M24-Sheet1!M29)^2)</f>
        <v>0.26000000000000006</v>
      </c>
      <c r="D24">
        <f>Sheet1!I29</f>
        <v>2</v>
      </c>
    </row>
    <row r="25" spans="1:4" x14ac:dyDescent="0.2">
      <c r="B25" t="s">
        <v>37</v>
      </c>
      <c r="C25">
        <f>SQRT((Sheet1!J25-Sheet1!J30)^2+(Sheet1!K25-Sheet1!K30)^2+(Sheet1!L25-Sheet1!L30)^2+(Sheet1!M25-Sheet1!M30)^2)</f>
        <v>1.0107423014794623</v>
      </c>
      <c r="D25">
        <f>Sheet1!I30</f>
        <v>1</v>
      </c>
    </row>
    <row r="26" spans="1:4" x14ac:dyDescent="0.2">
      <c r="B26" t="s">
        <v>38</v>
      </c>
      <c r="C26">
        <f>SQRT((Sheet1!J26-Sheet1!J31)^2+(Sheet1!K26-Sheet1!K31)^2+(Sheet1!L26-Sheet1!L31)^2+(Sheet1!M26-Sheet1!M31)^2)</f>
        <v>1.108873302050329</v>
      </c>
      <c r="D26">
        <f>Sheet1!I31</f>
        <v>2</v>
      </c>
    </row>
    <row r="27" spans="1:4" x14ac:dyDescent="0.2">
      <c r="B27" t="s">
        <v>39</v>
      </c>
      <c r="C27">
        <f>SQRT((Sheet1!J27-Sheet1!J32)^2+(Sheet1!K27-Sheet1!K32)^2+(Sheet1!L27-Sheet1!L32)^2+(Sheet1!M27-Sheet1!M32)^2)</f>
        <v>0.83066238629180744</v>
      </c>
      <c r="D27">
        <f>Sheet1!I32</f>
        <v>0</v>
      </c>
    </row>
    <row r="28" spans="1:4" x14ac:dyDescent="0.2">
      <c r="B28" t="s">
        <v>40</v>
      </c>
      <c r="C28">
        <f>SQRT((Sheet1!J28-Sheet1!J33)^2+(Sheet1!K28-Sheet1!K33)^2+(Sheet1!L28-Sheet1!L33)^2+(Sheet1!M28-Sheet1!M33)^2)</f>
        <v>1.1357816691600546</v>
      </c>
      <c r="D28">
        <f>Sheet1!I33</f>
        <v>0</v>
      </c>
    </row>
    <row r="29" spans="1:4" x14ac:dyDescent="0.2">
      <c r="B29" t="s">
        <v>41</v>
      </c>
      <c r="C29">
        <f>SQRT((Sheet1!J29-Sheet1!J34)^2+(Sheet1!K29-Sheet1!K34)^2+(Sheet1!L29-Sheet1!L34)^2+(Sheet1!M29-Sheet1!M34)^2)</f>
        <v>1.4942556675482279</v>
      </c>
      <c r="D29">
        <f>Sheet1!I34</f>
        <v>0</v>
      </c>
    </row>
    <row r="30" spans="1:4" x14ac:dyDescent="0.2">
      <c r="A30" t="s">
        <v>42</v>
      </c>
      <c r="B30" t="s">
        <v>10</v>
      </c>
      <c r="C30">
        <f>SQRT((Sheet1!J3-Sheet1!J7)^2+(Sheet1!K3-Sheet1!K7)^2+(Sheet1!L3-Sheet1!L7)^2+(Sheet1!M3-Sheet1!M7)^2)</f>
        <v>1.034456378974</v>
      </c>
      <c r="D30">
        <f>Sheet1!I7</f>
        <v>1</v>
      </c>
    </row>
    <row r="31" spans="1:4" x14ac:dyDescent="0.2">
      <c r="B31" t="s">
        <v>15</v>
      </c>
      <c r="C31">
        <f>SQRT((Sheet1!J4-Sheet1!J8)^2+(Sheet1!K4-Sheet1!K8)^2+(Sheet1!L4-Sheet1!L8)^2+(Sheet1!M4-Sheet1!M8)^2)</f>
        <v>0.56674509261219019</v>
      </c>
      <c r="D31">
        <f>Sheet1!I8</f>
        <v>1</v>
      </c>
    </row>
    <row r="32" spans="1:4" x14ac:dyDescent="0.2">
      <c r="B32" t="s">
        <v>16</v>
      </c>
      <c r="C32">
        <f>SQRT((Sheet1!J5-Sheet1!J9)^2+(Sheet1!K5-Sheet1!K9)^2+(Sheet1!L5-Sheet1!L9)^2+(Sheet1!M5-Sheet1!M9)^2)</f>
        <v>1.0035935432235503</v>
      </c>
      <c r="D32">
        <f>Sheet1!I9</f>
        <v>1</v>
      </c>
    </row>
    <row r="33" spans="2:4" x14ac:dyDescent="0.2">
      <c r="B33" t="s">
        <v>17</v>
      </c>
      <c r="C33">
        <f>SQRT((Sheet1!J6-Sheet1!J10)^2+(Sheet1!K6-Sheet1!K10)^2+(Sheet1!L6-Sheet1!L10)^2+(Sheet1!M6-Sheet1!M10)^2)</f>
        <v>1.3021520648526423</v>
      </c>
      <c r="D33">
        <f>Sheet1!I10</f>
        <v>2</v>
      </c>
    </row>
    <row r="34" spans="2:4" x14ac:dyDescent="0.2">
      <c r="B34" t="s">
        <v>18</v>
      </c>
      <c r="C34">
        <f>SQRT((Sheet1!J7-Sheet1!J11)^2+(Sheet1!K7-Sheet1!K11)^2+(Sheet1!L7-Sheet1!L11)^2+(Sheet1!M7-Sheet1!M11)^2)</f>
        <v>0.18788294228055938</v>
      </c>
      <c r="D34">
        <f>Sheet1!I11</f>
        <v>1</v>
      </c>
    </row>
    <row r="35" spans="2:4" x14ac:dyDescent="0.2">
      <c r="B35" t="s">
        <v>19</v>
      </c>
      <c r="C35">
        <f>SQRT((Sheet1!J8-Sheet1!J12)^2+(Sheet1!K8-Sheet1!K12)^2+(Sheet1!L8-Sheet1!L12)^2+(Sheet1!M8-Sheet1!M12)^2)</f>
        <v>0.35566838487557489</v>
      </c>
      <c r="D35">
        <f>Sheet1!I12</f>
        <v>1</v>
      </c>
    </row>
    <row r="36" spans="2:4" x14ac:dyDescent="0.2">
      <c r="B36" t="s">
        <v>20</v>
      </c>
      <c r="C36">
        <f>SQRT((Sheet1!J9-Sheet1!J13)^2+(Sheet1!K9-Sheet1!K13)^2+(Sheet1!L9-Sheet1!L13)^2+(Sheet1!M9-Sheet1!M13)^2)</f>
        <v>1.065269918846862</v>
      </c>
      <c r="D36">
        <f>Sheet1!I13</f>
        <v>2</v>
      </c>
    </row>
    <row r="37" spans="2:4" x14ac:dyDescent="0.2">
      <c r="B37" t="s">
        <v>21</v>
      </c>
      <c r="C37">
        <f>SQRT((Sheet1!J10-Sheet1!J14)^2+(Sheet1!K10-Sheet1!K14)^2+(Sheet1!L10-Sheet1!L14)^2+(Sheet1!M10-Sheet1!M14)^2)</f>
        <v>8.3066238629180764E-2</v>
      </c>
      <c r="D37">
        <f>Sheet1!I14</f>
        <v>2</v>
      </c>
    </row>
    <row r="38" spans="2:4" x14ac:dyDescent="0.2">
      <c r="B38" t="s">
        <v>22</v>
      </c>
      <c r="C38">
        <f>SQRT((Sheet1!J11-Sheet1!J15)^2+(Sheet1!K11-Sheet1!K15)^2+(Sheet1!L11-Sheet1!L15)^2+(Sheet1!M11-Sheet1!M15)^2)</f>
        <v>0.4924428900898053</v>
      </c>
      <c r="D38">
        <f>Sheet1!I15</f>
        <v>2</v>
      </c>
    </row>
    <row r="39" spans="2:4" x14ac:dyDescent="0.2">
      <c r="B39" t="s">
        <v>23</v>
      </c>
      <c r="C39">
        <f>SQRT((Sheet1!J12-Sheet1!J16)^2+(Sheet1!K12-Sheet1!K16)^2+(Sheet1!L12-Sheet1!L16)^2+(Sheet1!M12-Sheet1!M16)^2)</f>
        <v>0.55317266743757321</v>
      </c>
      <c r="D39">
        <f>Sheet1!I16</f>
        <v>2</v>
      </c>
    </row>
    <row r="40" spans="2:4" x14ac:dyDescent="0.2">
      <c r="B40" t="s">
        <v>24</v>
      </c>
      <c r="C40">
        <f>SQRT((Sheet1!J13-Sheet1!J17)^2+(Sheet1!K13-Sheet1!K17)^2+(Sheet1!L13-Sheet1!L17)^2+(Sheet1!M13-Sheet1!M17)^2)</f>
        <v>1.0807404868885038</v>
      </c>
      <c r="D40">
        <f>Sheet1!I17</f>
        <v>2</v>
      </c>
    </row>
    <row r="41" spans="2:4" x14ac:dyDescent="0.2">
      <c r="B41" t="s">
        <v>25</v>
      </c>
      <c r="C41">
        <f>SQRT((Sheet1!J14-Sheet1!J18)^2+(Sheet1!K14-Sheet1!K18)^2+(Sheet1!L14-Sheet1!L18)^2+(Sheet1!M14-Sheet1!M18)^2)</f>
        <v>0.22715633383201092</v>
      </c>
      <c r="D41">
        <f>Sheet1!I18</f>
        <v>1</v>
      </c>
    </row>
    <row r="42" spans="2:4" x14ac:dyDescent="0.2">
      <c r="B42" t="s">
        <v>26</v>
      </c>
      <c r="C42">
        <f>SQRT((Sheet1!J15-Sheet1!J19)^2+(Sheet1!K15-Sheet1!K19)^2+(Sheet1!L15-Sheet1!L19)^2+(Sheet1!M15-Sheet1!M19)^2)</f>
        <v>0.30000000000000004</v>
      </c>
      <c r="D42">
        <f>Sheet1!I19</f>
        <v>2</v>
      </c>
    </row>
    <row r="43" spans="2:4" x14ac:dyDescent="0.2">
      <c r="B43" t="s">
        <v>27</v>
      </c>
      <c r="C43">
        <f>SQRT((Sheet1!J16-Sheet1!J20)^2+(Sheet1!K16-Sheet1!K20)^2+(Sheet1!L16-Sheet1!L20)^2+(Sheet1!M16-Sheet1!M20)^2)</f>
        <v>1.013755394560246</v>
      </c>
      <c r="D43">
        <f>Sheet1!I20</f>
        <v>2</v>
      </c>
    </row>
    <row r="44" spans="2:4" x14ac:dyDescent="0.2">
      <c r="B44" t="s">
        <v>28</v>
      </c>
      <c r="C44">
        <f>SQRT((Sheet1!J17-Sheet1!J21)^2+(Sheet1!K17-Sheet1!K21)^2+(Sheet1!L17-Sheet1!L21)^2+(Sheet1!M17-Sheet1!M21)^2)</f>
        <v>0.42708313008125259</v>
      </c>
      <c r="D44">
        <f>Sheet1!I21</f>
        <v>1</v>
      </c>
    </row>
    <row r="45" spans="2:4" x14ac:dyDescent="0.2">
      <c r="B45" t="s">
        <v>29</v>
      </c>
      <c r="C45">
        <f>SQRT((Sheet1!J18-Sheet1!J22)^2+(Sheet1!K18-Sheet1!K22)^2+(Sheet1!L18-Sheet1!L22)^2+(Sheet1!M18-Sheet1!M22)^2)</f>
        <v>1.0194115949899727</v>
      </c>
      <c r="D45">
        <f>Sheet1!I22</f>
        <v>1</v>
      </c>
    </row>
    <row r="46" spans="2:4" x14ac:dyDescent="0.2">
      <c r="B46" t="s">
        <v>30</v>
      </c>
      <c r="C46">
        <f>SQRT((Sheet1!J19-Sheet1!J23)^2+(Sheet1!K19-Sheet1!K23)^2+(Sheet1!L19-Sheet1!L23)^2+(Sheet1!M19-Sheet1!M23)^2)</f>
        <v>0.74437893575785719</v>
      </c>
      <c r="D46">
        <f>Sheet1!I23</f>
        <v>1</v>
      </c>
    </row>
    <row r="47" spans="2:4" x14ac:dyDescent="0.2">
      <c r="B47" t="s">
        <v>31</v>
      </c>
      <c r="C47">
        <f>SQRT((Sheet1!J20-Sheet1!J24)^2+(Sheet1!K20-Sheet1!K24)^2+(Sheet1!L20-Sheet1!L24)^2+(Sheet1!M20-Sheet1!M24)^2)</f>
        <v>0.21283796653792764</v>
      </c>
      <c r="D47">
        <f>Sheet1!I24</f>
        <v>2</v>
      </c>
    </row>
    <row r="48" spans="2:4" x14ac:dyDescent="0.2">
      <c r="B48" t="s">
        <v>32</v>
      </c>
      <c r="C48">
        <f>SQRT((Sheet1!J21-Sheet1!J25)^2+(Sheet1!K21-Sheet1!K25)^2+(Sheet1!L21-Sheet1!L25)^2+(Sheet1!M21-Sheet1!M25)^2)</f>
        <v>0.32264531609803371</v>
      </c>
      <c r="D48">
        <f>Sheet1!I25</f>
        <v>2</v>
      </c>
    </row>
    <row r="49" spans="1:4" x14ac:dyDescent="0.2">
      <c r="B49" t="s">
        <v>33</v>
      </c>
      <c r="C49">
        <f>SQRT((Sheet1!J22-Sheet1!J26)^2+(Sheet1!K22-Sheet1!K26)^2+(Sheet1!L22-Sheet1!L26)^2+(Sheet1!M22-Sheet1!M26)^2)</f>
        <v>0.18138357147217049</v>
      </c>
      <c r="D49">
        <f>Sheet1!I26</f>
        <v>2</v>
      </c>
    </row>
    <row r="50" spans="1:4" x14ac:dyDescent="0.2">
      <c r="B50" t="s">
        <v>34</v>
      </c>
      <c r="C50">
        <f>SQRT((Sheet1!J23-Sheet1!J27)^2+(Sheet1!K23-Sheet1!K27)^2+(Sheet1!L23-Sheet1!L27)^2+(Sheet1!M23-Sheet1!M27)^2)</f>
        <v>1.2598809467564782</v>
      </c>
      <c r="D50">
        <f>Sheet1!I27</f>
        <v>2</v>
      </c>
    </row>
    <row r="51" spans="1:4" x14ac:dyDescent="0.2">
      <c r="B51" t="s">
        <v>35</v>
      </c>
      <c r="C51">
        <f>SQRT((Sheet1!J24-Sheet1!J28)^2+(Sheet1!K24-Sheet1!K28)^2+(Sheet1!L24-Sheet1!L28)^2+(Sheet1!M24-Sheet1!M28)^2)</f>
        <v>1.0950799057603058</v>
      </c>
      <c r="D51">
        <f>Sheet1!I28</f>
        <v>1</v>
      </c>
    </row>
    <row r="52" spans="1:4" x14ac:dyDescent="0.2">
      <c r="B52" t="s">
        <v>36</v>
      </c>
      <c r="C52">
        <f>SQRT((Sheet1!J25-Sheet1!J29)^2+(Sheet1!K25-Sheet1!K29)^2+(Sheet1!L25-Sheet1!L29)^2+(Sheet1!M25-Sheet1!M29)^2)</f>
        <v>1.0361949623502325</v>
      </c>
      <c r="D52">
        <f>Sheet1!I29</f>
        <v>2</v>
      </c>
    </row>
    <row r="53" spans="1:4" x14ac:dyDescent="0.2">
      <c r="B53" t="s">
        <v>37</v>
      </c>
      <c r="C53">
        <f>SQRT((Sheet1!J26-Sheet1!J30)^2+(Sheet1!K26-Sheet1!K30)^2+(Sheet1!L26-Sheet1!L30)^2+(Sheet1!M26-Sheet1!M30)^2)</f>
        <v>1.0768936809174805</v>
      </c>
      <c r="D53">
        <f>Sheet1!I30</f>
        <v>1</v>
      </c>
    </row>
    <row r="54" spans="1:4" x14ac:dyDescent="0.2">
      <c r="B54" t="s">
        <v>38</v>
      </c>
      <c r="C54">
        <f>SQRT((Sheet1!J27-Sheet1!J31)^2+(Sheet1!K27-Sheet1!K31)^2+(Sheet1!L27-Sheet1!L31)^2+(Sheet1!M27-Sheet1!M31)^2)</f>
        <v>1.0101485039339513</v>
      </c>
      <c r="D54">
        <f>Sheet1!I31</f>
        <v>2</v>
      </c>
    </row>
    <row r="55" spans="1:4" x14ac:dyDescent="0.2">
      <c r="B55" t="s">
        <v>39</v>
      </c>
      <c r="C55">
        <f>SQRT((Sheet1!J28-Sheet1!J32)^2+(Sheet1!K28-Sheet1!K32)^2+(Sheet1!L28-Sheet1!L32)^2+(Sheet1!M28-Sheet1!M32)^2)</f>
        <v>1.1357816691600546</v>
      </c>
      <c r="D55">
        <f>Sheet1!I32</f>
        <v>0</v>
      </c>
    </row>
    <row r="56" spans="1:4" x14ac:dyDescent="0.2">
      <c r="B56" t="s">
        <v>40</v>
      </c>
      <c r="C56">
        <f>SQRT((Sheet1!J29-Sheet1!J33)^2+(Sheet1!K29-Sheet1!K33)^2+(Sheet1!L29-Sheet1!L33)^2+(Sheet1!M29-Sheet1!M33)^2)</f>
        <v>1.4942556675482279</v>
      </c>
      <c r="D56">
        <f>Sheet1!I33</f>
        <v>0</v>
      </c>
    </row>
    <row r="57" spans="1:4" x14ac:dyDescent="0.2">
      <c r="B57" t="s">
        <v>41</v>
      </c>
      <c r="C57">
        <f>SQRT((Sheet1!J30-Sheet1!J34)^2+(Sheet1!K30-Sheet1!K34)^2+(Sheet1!L30-Sheet1!L34)^2+(Sheet1!M30-Sheet1!M34)^2)</f>
        <v>1.3626811806141597</v>
      </c>
      <c r="D57">
        <f>Sheet1!I34</f>
        <v>0</v>
      </c>
    </row>
    <row r="58" spans="1:4" x14ac:dyDescent="0.2">
      <c r="A58" t="s">
        <v>43</v>
      </c>
      <c r="B58" t="s">
        <v>10</v>
      </c>
      <c r="C58">
        <f>SQRT((Sheet1!J4-Sheet1!J7)^2+(Sheet1!K4-Sheet1!K7)^2+(Sheet1!L4-Sheet1!L7)^2+(Sheet1!M4-Sheet1!M7)^2)</f>
        <v>1.0842970072816764</v>
      </c>
      <c r="D58">
        <f>Sheet1!I7</f>
        <v>1</v>
      </c>
    </row>
    <row r="59" spans="1:4" x14ac:dyDescent="0.2">
      <c r="B59" t="s">
        <v>15</v>
      </c>
      <c r="C59">
        <f>SQRT((Sheet1!J5-Sheet1!J8)^2+(Sheet1!K5-Sheet1!K8)^2+(Sheet1!L5-Sheet1!L8)^2+(Sheet1!M5-Sheet1!M8)^2)</f>
        <v>1.2290240030202828</v>
      </c>
      <c r="D59">
        <f>Sheet1!I8</f>
        <v>1</v>
      </c>
    </row>
    <row r="60" spans="1:4" x14ac:dyDescent="0.2">
      <c r="B60" t="s">
        <v>16</v>
      </c>
      <c r="C60">
        <f>SQRT((Sheet1!J6-Sheet1!J9)^2+(Sheet1!K6-Sheet1!K9)^2+(Sheet1!L6-Sheet1!L9)^2+(Sheet1!M6-Sheet1!M9)^2)</f>
        <v>0.91257876372398672</v>
      </c>
      <c r="D60">
        <f>Sheet1!I9</f>
        <v>1</v>
      </c>
    </row>
    <row r="61" spans="1:4" x14ac:dyDescent="0.2">
      <c r="B61" t="s">
        <v>17</v>
      </c>
      <c r="C61">
        <f>SQRT((Sheet1!J7-Sheet1!J10)^2+(Sheet1!K7-Sheet1!K10)^2+(Sheet1!L7-Sheet1!L10)^2+(Sheet1!M7-Sheet1!M10)^2)</f>
        <v>0.11999999999999998</v>
      </c>
      <c r="D61">
        <f>Sheet1!I10</f>
        <v>2</v>
      </c>
    </row>
    <row r="62" spans="1:4" x14ac:dyDescent="0.2">
      <c r="B62" t="s">
        <v>18</v>
      </c>
      <c r="C62">
        <f>SQRT((Sheet1!J8-Sheet1!J11)^2+(Sheet1!K8-Sheet1!K11)^2+(Sheet1!L8-Sheet1!L11)^2+(Sheet1!M8-Sheet1!M11)^2)</f>
        <v>1.2258874336577563</v>
      </c>
      <c r="D62">
        <f>Sheet1!I11</f>
        <v>1</v>
      </c>
    </row>
    <row r="63" spans="1:4" x14ac:dyDescent="0.2">
      <c r="B63" t="s">
        <v>19</v>
      </c>
      <c r="C63">
        <f>SQRT((Sheet1!J9-Sheet1!J12)^2+(Sheet1!K9-Sheet1!K12)^2+(Sheet1!L9-Sheet1!L12)^2+(Sheet1!M9-Sheet1!M12)^2)</f>
        <v>0.56850681614207577</v>
      </c>
      <c r="D63">
        <f>Sheet1!I12</f>
        <v>1</v>
      </c>
    </row>
    <row r="64" spans="1:4" x14ac:dyDescent="0.2">
      <c r="B64" t="s">
        <v>20</v>
      </c>
      <c r="C64">
        <f>SQRT((Sheet1!J10-Sheet1!J13)^2+(Sheet1!K10-Sheet1!K13)^2+(Sheet1!L10-Sheet1!L13)^2+(Sheet1!M10-Sheet1!M13)^2)</f>
        <v>0.3136877428271625</v>
      </c>
      <c r="D64">
        <f>Sheet1!I13</f>
        <v>2</v>
      </c>
    </row>
    <row r="65" spans="2:4" x14ac:dyDescent="0.2">
      <c r="B65" t="s">
        <v>21</v>
      </c>
      <c r="C65">
        <f>SQRT((Sheet1!J11-Sheet1!J14)^2+(Sheet1!K11-Sheet1!K14)^2+(Sheet1!L11-Sheet1!L14)^2+(Sheet1!M11-Sheet1!M14)^2)</f>
        <v>0.17204650534085256</v>
      </c>
      <c r="D65">
        <f>Sheet1!I14</f>
        <v>2</v>
      </c>
    </row>
    <row r="66" spans="2:4" x14ac:dyDescent="0.2">
      <c r="B66" t="s">
        <v>22</v>
      </c>
      <c r="C66">
        <f>SQRT((Sheet1!J12-Sheet1!J15)^2+(Sheet1!K12-Sheet1!K15)^2+(Sheet1!L12-Sheet1!L15)^2+(Sheet1!M12-Sheet1!M15)^2)</f>
        <v>1.1649892703368558</v>
      </c>
      <c r="D66">
        <f>Sheet1!I15</f>
        <v>2</v>
      </c>
    </row>
    <row r="67" spans="2:4" x14ac:dyDescent="0.2">
      <c r="B67" t="s">
        <v>23</v>
      </c>
      <c r="C67">
        <f>SQRT((Sheet1!J13-Sheet1!J16)^2+(Sheet1!K13-Sheet1!K16)^2+(Sheet1!L13-Sheet1!L16)^2+(Sheet1!M13-Sheet1!M16)^2)</f>
        <v>1.0616967551989598</v>
      </c>
      <c r="D67">
        <f>Sheet1!I16</f>
        <v>2</v>
      </c>
    </row>
    <row r="68" spans="2:4" x14ac:dyDescent="0.2">
      <c r="B68" t="s">
        <v>24</v>
      </c>
      <c r="C68">
        <f>SQRT((Sheet1!J14-Sheet1!J17)^2+(Sheet1!K14-Sheet1!K17)^2+(Sheet1!L14-Sheet1!L17)^2+(Sheet1!M14-Sheet1!M17)^2)</f>
        <v>1.0619322012256713</v>
      </c>
      <c r="D68">
        <f>Sheet1!I17</f>
        <v>2</v>
      </c>
    </row>
    <row r="69" spans="2:4" x14ac:dyDescent="0.2">
      <c r="B69" t="s">
        <v>25</v>
      </c>
      <c r="C69">
        <f>SQRT((Sheet1!J15-Sheet1!J18)^2+(Sheet1!K15-Sheet1!K18)^2+(Sheet1!L15-Sheet1!L18)^2+(Sheet1!M15-Sheet1!M18)^2)</f>
        <v>0.40607881008493912</v>
      </c>
      <c r="D69">
        <f>Sheet1!I18</f>
        <v>1</v>
      </c>
    </row>
    <row r="70" spans="2:4" x14ac:dyDescent="0.2">
      <c r="B70" t="s">
        <v>26</v>
      </c>
      <c r="C70">
        <f>SQRT((Sheet1!J16-Sheet1!J19)^2+(Sheet1!K16-Sheet1!K19)^2+(Sheet1!L16-Sheet1!L19)^2+(Sheet1!M16-Sheet1!M19)^2)</f>
        <v>1.0117311895953391</v>
      </c>
      <c r="D70">
        <f>Sheet1!I19</f>
        <v>2</v>
      </c>
    </row>
    <row r="71" spans="2:4" x14ac:dyDescent="0.2">
      <c r="B71" t="s">
        <v>27</v>
      </c>
      <c r="C71">
        <f>SQRT((Sheet1!J17-Sheet1!J20)^2+(Sheet1!K17-Sheet1!K20)^2+(Sheet1!L17-Sheet1!L20)^2+(Sheet1!M17-Sheet1!M20)^2)</f>
        <v>1.0707474025184465</v>
      </c>
      <c r="D71">
        <f>Sheet1!I20</f>
        <v>2</v>
      </c>
    </row>
    <row r="72" spans="2:4" x14ac:dyDescent="0.2">
      <c r="B72" t="s">
        <v>28</v>
      </c>
      <c r="C72">
        <f>SQRT((Sheet1!J18-Sheet1!J21)^2+(Sheet1!K18-Sheet1!K21)^2+(Sheet1!L18-Sheet1!L21)^2+(Sheet1!M18-Sheet1!M21)^2)</f>
        <v>1.0245486811274513</v>
      </c>
      <c r="D72">
        <f>Sheet1!I21</f>
        <v>1</v>
      </c>
    </row>
    <row r="73" spans="2:4" x14ac:dyDescent="0.2">
      <c r="B73" t="s">
        <v>29</v>
      </c>
      <c r="C73">
        <f>SQRT((Sheet1!J19-Sheet1!J22)^2+(Sheet1!K19-Sheet1!K22)^2+(Sheet1!L19-Sheet1!L22)^2+(Sheet1!M19-Sheet1!M22)^2)</f>
        <v>1.0113851887386922</v>
      </c>
      <c r="D73">
        <f>Sheet1!I22</f>
        <v>1</v>
      </c>
    </row>
    <row r="74" spans="2:4" x14ac:dyDescent="0.2">
      <c r="B74" t="s">
        <v>30</v>
      </c>
      <c r="C74">
        <f>SQRT((Sheet1!J20-Sheet1!J23)^2+(Sheet1!K20-Sheet1!K23)^2+(Sheet1!L20-Sheet1!L23)^2+(Sheet1!M20-Sheet1!M23)^2)</f>
        <v>0.92086915465770702</v>
      </c>
      <c r="D74">
        <f>Sheet1!I23</f>
        <v>1</v>
      </c>
    </row>
    <row r="75" spans="2:4" x14ac:dyDescent="0.2">
      <c r="B75" t="s">
        <v>31</v>
      </c>
      <c r="C75">
        <f>SQRT((Sheet1!J21-Sheet1!J24)^2+(Sheet1!K21-Sheet1!K24)^2+(Sheet1!L21-Sheet1!L24)^2+(Sheet1!M21-Sheet1!M24)^2)</f>
        <v>1.0734989520255713</v>
      </c>
      <c r="D75">
        <f>Sheet1!I24</f>
        <v>2</v>
      </c>
    </row>
    <row r="76" spans="2:4" x14ac:dyDescent="0.2">
      <c r="B76" t="s">
        <v>32</v>
      </c>
      <c r="C76">
        <f>SQRT((Sheet1!J22-Sheet1!J25)^2+(Sheet1!K22-Sheet1!K25)^2+(Sheet1!L22-Sheet1!L25)^2+(Sheet1!M22-Sheet1!M25)^2)</f>
        <v>0.25922962793631443</v>
      </c>
      <c r="D76">
        <f>Sheet1!I25</f>
        <v>2</v>
      </c>
    </row>
    <row r="77" spans="2:4" x14ac:dyDescent="0.2">
      <c r="B77" t="s">
        <v>33</v>
      </c>
      <c r="C77">
        <f>SQRT((Sheet1!J23-Sheet1!J26)^2+(Sheet1!K23-Sheet1!K26)^2+(Sheet1!L23-Sheet1!L26)^2+(Sheet1!M23-Sheet1!M26)^2)</f>
        <v>1.1933566105737212</v>
      </c>
      <c r="D77">
        <f>Sheet1!I26</f>
        <v>2</v>
      </c>
    </row>
    <row r="78" spans="2:4" x14ac:dyDescent="0.2">
      <c r="B78" t="s">
        <v>34</v>
      </c>
      <c r="C78">
        <f>SQRT((Sheet1!J24-Sheet1!J27)^2+(Sheet1!K24-Sheet1!K27)^2+(Sheet1!L24-Sheet1!L27)^2+(Sheet1!M24-Sheet1!M27)^2)</f>
        <v>1.0248902380255165</v>
      </c>
      <c r="D78">
        <f>Sheet1!I27</f>
        <v>2</v>
      </c>
    </row>
    <row r="79" spans="2:4" x14ac:dyDescent="0.2">
      <c r="B79" t="s">
        <v>35</v>
      </c>
      <c r="C79">
        <f>SQRT((Sheet1!J25-Sheet1!J28)^2+(Sheet1!K25-Sheet1!K28)^2+(Sheet1!L25-Sheet1!L28)^2+(Sheet1!M25-Sheet1!M28)^2)</f>
        <v>0.37107950630558945</v>
      </c>
      <c r="D79">
        <f>Sheet1!I28</f>
        <v>1</v>
      </c>
    </row>
    <row r="80" spans="2:4" x14ac:dyDescent="0.2">
      <c r="B80" t="s">
        <v>36</v>
      </c>
      <c r="C80">
        <f>SQRT((Sheet1!J26-Sheet1!J29)^2+(Sheet1!K26-Sheet1!K29)^2+(Sheet1!L26-Sheet1!L29)^2+(Sheet1!M26-Sheet1!M29)^2)</f>
        <v>1.0537551897855593</v>
      </c>
      <c r="D80">
        <f>Sheet1!I29</f>
        <v>2</v>
      </c>
    </row>
    <row r="81" spans="1:4" x14ac:dyDescent="0.2">
      <c r="B81" t="s">
        <v>37</v>
      </c>
      <c r="C81">
        <f>SQRT((Sheet1!J27-Sheet1!J30)^2+(Sheet1!K27-Sheet1!K30)^2+(Sheet1!L27-Sheet1!L30)^2+(Sheet1!M27-Sheet1!M30)^2)</f>
        <v>1.0094057657849989</v>
      </c>
      <c r="D81">
        <f>Sheet1!I30</f>
        <v>1</v>
      </c>
    </row>
    <row r="82" spans="1:4" x14ac:dyDescent="0.2">
      <c r="B82" t="s">
        <v>38</v>
      </c>
      <c r="C82">
        <f>SQRT((Sheet1!J28-Sheet1!J31)^2+(Sheet1!K28-Sheet1!K31)^2+(Sheet1!L28-Sheet1!L31)^2+(Sheet1!M28-Sheet1!M31)^2)</f>
        <v>1.1301327355669333</v>
      </c>
      <c r="D82">
        <f>Sheet1!I31</f>
        <v>2</v>
      </c>
    </row>
    <row r="83" spans="1:4" x14ac:dyDescent="0.2">
      <c r="A83" t="s">
        <v>44</v>
      </c>
      <c r="B83" t="s">
        <v>10</v>
      </c>
      <c r="C83">
        <f>SQRT((Sheet1!J5-Sheet1!J7)^2+(Sheet1!K5-Sheet1!K7)^2+(Sheet1!L5-Sheet1!L7)^2+(Sheet1!M5-Sheet1!M7)^2)</f>
        <v>8.246211251235315E-2</v>
      </c>
      <c r="D83">
        <f>Sheet1!I7</f>
        <v>1</v>
      </c>
    </row>
    <row r="84" spans="1:4" x14ac:dyDescent="0.2">
      <c r="B84" t="s">
        <v>15</v>
      </c>
      <c r="C84">
        <f>SQRT((Sheet1!J6-Sheet1!J8)^2+(Sheet1!K6-Sheet1!K8)^2+(Sheet1!L6-Sheet1!L8)^2+(Sheet1!M6-Sheet1!M8)^2)</f>
        <v>0.19723082923316007</v>
      </c>
      <c r="D84">
        <f>Sheet1!I8</f>
        <v>1</v>
      </c>
    </row>
    <row r="85" spans="1:4" x14ac:dyDescent="0.2">
      <c r="B85" t="s">
        <v>16</v>
      </c>
      <c r="C85">
        <f>SQRT((Sheet1!J7-Sheet1!J9)^2+(Sheet1!K7-Sheet1!K9)^2+(Sheet1!L7-Sheet1!L9)^2+(Sheet1!M7-Sheet1!M9)^2)</f>
        <v>1.0009995004993759</v>
      </c>
      <c r="D85">
        <f>Sheet1!I9</f>
        <v>1</v>
      </c>
    </row>
    <row r="86" spans="1:4" x14ac:dyDescent="0.2">
      <c r="B86" t="s">
        <v>17</v>
      </c>
      <c r="C86">
        <f>SQRT((Sheet1!J8-Sheet1!J10)^2+(Sheet1!K8-Sheet1!K10)^2+(Sheet1!L8-Sheet1!L10)^2+(Sheet1!M8-Sheet1!M10)^2)</f>
        <v>1.2061923561356207</v>
      </c>
      <c r="D86">
        <f>Sheet1!I10</f>
        <v>2</v>
      </c>
    </row>
    <row r="87" spans="1:4" x14ac:dyDescent="0.2">
      <c r="B87" t="s">
        <v>18</v>
      </c>
      <c r="C87">
        <f>SQRT((Sheet1!J9-Sheet1!J11)^2+(Sheet1!K9-Sheet1!K11)^2+(Sheet1!L9-Sheet1!L11)^2+(Sheet1!M9-Sheet1!M11)^2)</f>
        <v>1.0157263410978372</v>
      </c>
      <c r="D87">
        <f>Sheet1!I11</f>
        <v>1</v>
      </c>
    </row>
    <row r="88" spans="1:4" x14ac:dyDescent="0.2">
      <c r="B88" t="s">
        <v>19</v>
      </c>
      <c r="C88">
        <f>SQRT((Sheet1!J10-Sheet1!J12)^2+(Sheet1!K10-Sheet1!K12)^2+(Sheet1!L10-Sheet1!L12)^2+(Sheet1!M10-Sheet1!M12)^2)</f>
        <v>1.1280070921762859</v>
      </c>
      <c r="D88">
        <f>Sheet1!I12</f>
        <v>1</v>
      </c>
    </row>
    <row r="89" spans="1:4" x14ac:dyDescent="0.2">
      <c r="B89" t="s">
        <v>20</v>
      </c>
      <c r="C89">
        <f>SQRT((Sheet1!J11-Sheet1!J13)^2+(Sheet1!K11-Sheet1!K13)^2+(Sheet1!L11-Sheet1!L13)^2+(Sheet1!M11-Sheet1!M13)^2)</f>
        <v>0.26551836094703507</v>
      </c>
      <c r="D89">
        <f>Sheet1!I13</f>
        <v>2</v>
      </c>
    </row>
    <row r="90" spans="1:4" x14ac:dyDescent="0.2">
      <c r="B90" t="s">
        <v>21</v>
      </c>
      <c r="C90">
        <f>SQRT((Sheet1!J12-Sheet1!J14)^2+(Sheet1!K12-Sheet1!K14)^2+(Sheet1!L12-Sheet1!L14)^2+(Sheet1!M12-Sheet1!M14)^2)</f>
        <v>1.1363538181394033</v>
      </c>
      <c r="D90">
        <f>Sheet1!I14</f>
        <v>2</v>
      </c>
    </row>
    <row r="91" spans="1:4" x14ac:dyDescent="0.2">
      <c r="B91" t="s">
        <v>22</v>
      </c>
      <c r="C91">
        <f>SQRT((Sheet1!J13-Sheet1!J15)^2+(Sheet1!K13-Sheet1!K15)^2+(Sheet1!L13-Sheet1!L15)^2+(Sheet1!M13-Sheet1!M15)^2)</f>
        <v>0.52535702146254792</v>
      </c>
      <c r="D91">
        <f>Sheet1!I15</f>
        <v>2</v>
      </c>
    </row>
    <row r="92" spans="1:4" x14ac:dyDescent="0.2">
      <c r="B92" t="s">
        <v>23</v>
      </c>
      <c r="C92">
        <f>SQRT((Sheet1!J14-Sheet1!J16)^2+(Sheet1!K14-Sheet1!K16)^2+(Sheet1!L14-Sheet1!L16)^2+(Sheet1!M14-Sheet1!M16)^2)</f>
        <v>1.01</v>
      </c>
      <c r="D92">
        <f>Sheet1!I16</f>
        <v>2</v>
      </c>
    </row>
    <row r="93" spans="1:4" x14ac:dyDescent="0.2">
      <c r="B93" t="s">
        <v>24</v>
      </c>
      <c r="C93">
        <f>SQRT((Sheet1!J15-Sheet1!J17)^2+(Sheet1!K15-Sheet1!K17)^2+(Sheet1!L15-Sheet1!L17)^2+(Sheet1!M15-Sheet1!M17)^2)</f>
        <v>1.1630993078838969</v>
      </c>
      <c r="D93">
        <f>Sheet1!I17</f>
        <v>2</v>
      </c>
    </row>
    <row r="94" spans="1:4" x14ac:dyDescent="0.2">
      <c r="B94" t="s">
        <v>25</v>
      </c>
      <c r="C94">
        <f>SQRT((Sheet1!J16-Sheet1!J18)^2+(Sheet1!K16-Sheet1!K18)^2+(Sheet1!L16-Sheet1!L18)^2+(Sheet1!M16-Sheet1!M18)^2)</f>
        <v>1.0235721762533407</v>
      </c>
      <c r="D94">
        <f>Sheet1!I18</f>
        <v>1</v>
      </c>
    </row>
    <row r="95" spans="1:4" x14ac:dyDescent="0.2">
      <c r="B95" t="s">
        <v>26</v>
      </c>
      <c r="C95">
        <f>SQRT((Sheet1!J17-Sheet1!J19)^2+(Sheet1!K17-Sheet1!K19)^2+(Sheet1!L17-Sheet1!L19)^2+(Sheet1!M17-Sheet1!M19)^2)</f>
        <v>1.0890362712049586</v>
      </c>
      <c r="D95">
        <f>Sheet1!I19</f>
        <v>2</v>
      </c>
    </row>
    <row r="96" spans="1:4" x14ac:dyDescent="0.2">
      <c r="B96" t="s">
        <v>27</v>
      </c>
      <c r="C96">
        <f>SQRT((Sheet1!J18-Sheet1!J20)^2+(Sheet1!K18-Sheet1!K20)^2+(Sheet1!L18-Sheet1!L20)^2+(Sheet1!M18-Sheet1!M20)^2)</f>
        <v>0.33999999999999997</v>
      </c>
      <c r="D96">
        <f>Sheet1!I20</f>
        <v>2</v>
      </c>
    </row>
    <row r="97" spans="1:4" x14ac:dyDescent="0.2">
      <c r="B97" t="s">
        <v>28</v>
      </c>
      <c r="C97">
        <f>SQRT((Sheet1!J19-Sheet1!J21)^2+(Sheet1!K19-Sheet1!K21)^2+(Sheet1!L19-Sheet1!L21)^2+(Sheet1!M19-Sheet1!M21)^2)</f>
        <v>1.0278132126023678</v>
      </c>
      <c r="D97">
        <f>Sheet1!I21</f>
        <v>1</v>
      </c>
    </row>
    <row r="98" spans="1:4" x14ac:dyDescent="0.2">
      <c r="B98" t="s">
        <v>29</v>
      </c>
      <c r="C98">
        <f>SQRT((Sheet1!J20-Sheet1!J22)^2+(Sheet1!K20-Sheet1!K22)^2+(Sheet1!L20-Sheet1!L22)^2+(Sheet1!M20-Sheet1!M22)^2)</f>
        <v>1.0879338215167318</v>
      </c>
      <c r="D98">
        <f>Sheet1!I22</f>
        <v>1</v>
      </c>
    </row>
    <row r="99" spans="1:4" x14ac:dyDescent="0.2">
      <c r="B99" t="s">
        <v>30</v>
      </c>
      <c r="C99">
        <f>SQRT((Sheet1!J21-Sheet1!J23)^2+(Sheet1!K21-Sheet1!K23)^2+(Sheet1!L21-Sheet1!L23)^2+(Sheet1!M21-Sheet1!M23)^2)</f>
        <v>1.1271645842555558</v>
      </c>
      <c r="D99">
        <f>Sheet1!I23</f>
        <v>1</v>
      </c>
    </row>
    <row r="100" spans="1:4" x14ac:dyDescent="0.2">
      <c r="B100" t="s">
        <v>31</v>
      </c>
      <c r="C100">
        <f>SQRT((Sheet1!J22-Sheet1!J24)^2+(Sheet1!K22-Sheet1!K24)^2+(Sheet1!L22-Sheet1!L24)^2+(Sheet1!M22-Sheet1!M24)^2)</f>
        <v>1.0448444860360799</v>
      </c>
      <c r="D100">
        <f>Sheet1!I24</f>
        <v>2</v>
      </c>
    </row>
    <row r="101" spans="1:4" x14ac:dyDescent="0.2">
      <c r="B101" t="s">
        <v>32</v>
      </c>
      <c r="C101">
        <f>SQRT((Sheet1!J23-Sheet1!J25)^2+(Sheet1!K23-Sheet1!K25)^2+(Sheet1!L23-Sheet1!L25)^2+(Sheet1!M23-Sheet1!M25)^2)</f>
        <v>1.2314219423089716</v>
      </c>
      <c r="D101">
        <f>Sheet1!I25</f>
        <v>2</v>
      </c>
    </row>
    <row r="102" spans="1:4" x14ac:dyDescent="0.2">
      <c r="B102" t="s">
        <v>33</v>
      </c>
      <c r="C102">
        <f>SQRT((Sheet1!J24-Sheet1!J26)^2+(Sheet1!K24-Sheet1!K26)^2+(Sheet1!L24-Sheet1!L26)^2+(Sheet1!M24-Sheet1!M26)^2)</f>
        <v>1.0934349546269317</v>
      </c>
      <c r="D102">
        <f>Sheet1!I26</f>
        <v>2</v>
      </c>
    </row>
    <row r="103" spans="1:4" x14ac:dyDescent="0.2">
      <c r="B103" t="s">
        <v>34</v>
      </c>
      <c r="C103">
        <f>SQRT((Sheet1!J25-Sheet1!J27)^2+(Sheet1!K25-Sheet1!K27)^2+(Sheet1!L25-Sheet1!L27)^2+(Sheet1!M25-Sheet1!M27)^2)</f>
        <v>0.16763054614240219</v>
      </c>
      <c r="D103">
        <f>Sheet1!I27</f>
        <v>2</v>
      </c>
    </row>
    <row r="104" spans="1:4" x14ac:dyDescent="0.2">
      <c r="B104" t="s">
        <v>35</v>
      </c>
      <c r="C104">
        <f>SQRT((Sheet1!J26-Sheet1!J28)^2+(Sheet1!K26-Sheet1!K28)^2+(Sheet1!L26-Sheet1!L28)^2+(Sheet1!M26-Sheet1!M28)^2)</f>
        <v>0.39749213828703583</v>
      </c>
      <c r="D104">
        <f>Sheet1!I28</f>
        <v>1</v>
      </c>
    </row>
    <row r="105" spans="1:4" x14ac:dyDescent="0.2">
      <c r="B105" t="s">
        <v>36</v>
      </c>
      <c r="C105">
        <f>SQRT((Sheet1!J27-Sheet1!J29)^2+(Sheet1!K27-Sheet1!K29)^2+(Sheet1!L27-Sheet1!L29)^2+(Sheet1!M27-Sheet1!M29)^2)</f>
        <v>1.0637668917577761</v>
      </c>
      <c r="D105">
        <f>Sheet1!I29</f>
        <v>2</v>
      </c>
    </row>
    <row r="106" spans="1:4" x14ac:dyDescent="0.2">
      <c r="B106" t="s">
        <v>37</v>
      </c>
      <c r="C106">
        <f>SQRT((Sheet1!J28-Sheet1!J30)^2+(Sheet1!K28-Sheet1!K30)^2+(Sheet1!L28-Sheet1!L30)^2+(Sheet1!M28-Sheet1!M30)^2)</f>
        <v>1.1177208953938367</v>
      </c>
      <c r="D106">
        <f>Sheet1!I30</f>
        <v>1</v>
      </c>
    </row>
    <row r="107" spans="1:4" x14ac:dyDescent="0.2">
      <c r="B107" t="s">
        <v>38</v>
      </c>
      <c r="C107">
        <f>SQRT((Sheet1!J29-Sheet1!J31)^2+(Sheet1!K29-Sheet1!K31)^2+(Sheet1!L29-Sheet1!L31)^2+(Sheet1!M29-Sheet1!M31)^2)</f>
        <v>0.44452221541785741</v>
      </c>
      <c r="D107">
        <f>Sheet1!I31</f>
        <v>2</v>
      </c>
    </row>
    <row r="108" spans="1:4" x14ac:dyDescent="0.2">
      <c r="B108" t="s">
        <v>39</v>
      </c>
      <c r="C108">
        <f>SQRT((Sheet1!J30-Sheet1!J32)^2+(Sheet1!K30-Sheet1!K32)^2+(Sheet1!L30-Sheet1!L32)^2+(Sheet1!M30-Sheet1!M32)^2)</f>
        <v>1.3626811806141597</v>
      </c>
      <c r="D108">
        <f>Sheet1!I32</f>
        <v>0</v>
      </c>
    </row>
    <row r="109" spans="1:4" x14ac:dyDescent="0.2">
      <c r="B109" t="s">
        <v>40</v>
      </c>
      <c r="C109">
        <f>SQRT((Sheet1!J31-Sheet1!J33)^2+(Sheet1!K31-Sheet1!K33)^2+(Sheet1!L31-Sheet1!L33)^2+(Sheet1!M31-Sheet1!M33)^2)</f>
        <v>1.3365627557282898</v>
      </c>
      <c r="D109">
        <f>Sheet1!I33</f>
        <v>0</v>
      </c>
    </row>
    <row r="110" spans="1:4" x14ac:dyDescent="0.2">
      <c r="B110" t="s">
        <v>41</v>
      </c>
      <c r="C110">
        <f>SQRT((Sheet1!J32-Sheet1!J34)^2+(Sheet1!K32-Sheet1!K34)^2+(Sheet1!L32-Sheet1!L34)^2+(Sheet1!M32-Sheet1!M34)^2)</f>
        <v>0</v>
      </c>
      <c r="D110">
        <f>Sheet1!I34</f>
        <v>0</v>
      </c>
    </row>
    <row r="111" spans="1:4" x14ac:dyDescent="0.2">
      <c r="A111" t="s">
        <v>45</v>
      </c>
      <c r="B111" t="s">
        <v>10</v>
      </c>
      <c r="C111">
        <f>SQRT((Sheet1!J6-Sheet1!J7)^2+(Sheet1!K6-Sheet1!K7)^2+(Sheet1!L6-Sheet1!L7)^2+(Sheet1!M6-Sheet1!M7)^2)</f>
        <v>1.3385066305401703</v>
      </c>
      <c r="D111">
        <f>Sheet1!I7</f>
        <v>1</v>
      </c>
    </row>
    <row r="112" spans="1:4" x14ac:dyDescent="0.2">
      <c r="B112" t="s">
        <v>15</v>
      </c>
      <c r="C112">
        <f>SQRT((Sheet1!J7-Sheet1!J8)^2+(Sheet1!K7-Sheet1!K8)^2+(Sheet1!L7-Sheet1!L8)^2+(Sheet1!M7-Sheet1!M8)^2)</f>
        <v>1.2466354719804824</v>
      </c>
      <c r="D112">
        <f>Sheet1!I8</f>
        <v>1</v>
      </c>
    </row>
    <row r="113" spans="2:4" x14ac:dyDescent="0.2">
      <c r="B113" t="s">
        <v>16</v>
      </c>
      <c r="C113">
        <f>SQRT((Sheet1!J8-Sheet1!J9)^2+(Sheet1!K8-Sheet1!K9)^2+(Sheet1!L8-Sheet1!L9)^2+(Sheet1!M8-Sheet1!M9)^2)</f>
        <v>0.76478755219995587</v>
      </c>
      <c r="D113">
        <f>Sheet1!I9</f>
        <v>1</v>
      </c>
    </row>
    <row r="114" spans="2:4" x14ac:dyDescent="0.2">
      <c r="B114" t="s">
        <v>17</v>
      </c>
      <c r="C114">
        <f>SQRT((Sheet1!J9-Sheet1!J10)^2+(Sheet1!K9-Sheet1!K10)^2+(Sheet1!L9-Sheet1!L10)^2+(Sheet1!M9-Sheet1!M10)^2)</f>
        <v>1.0065783625729297</v>
      </c>
      <c r="D114">
        <f>Sheet1!I10</f>
        <v>2</v>
      </c>
    </row>
    <row r="115" spans="2:4" x14ac:dyDescent="0.2">
      <c r="B115" t="s">
        <v>18</v>
      </c>
      <c r="C115">
        <f>SQRT((Sheet1!J10-Sheet1!J11)^2+(Sheet1!K10-Sheet1!K11)^2+(Sheet1!L10-Sheet1!L11)^2+(Sheet1!M10-Sheet1!M11)^2)</f>
        <v>0.20420577856662145</v>
      </c>
      <c r="D115">
        <f>Sheet1!I11</f>
        <v>1</v>
      </c>
    </row>
    <row r="116" spans="2:4" x14ac:dyDescent="0.2">
      <c r="B116" t="s">
        <v>19</v>
      </c>
      <c r="C116">
        <f>SQRT((Sheet1!J11-Sheet1!J12)^2+(Sheet1!K11-Sheet1!K12)^2+(Sheet1!L11-Sheet1!L12)^2+(Sheet1!M11-Sheet1!M12)^2)</f>
        <v>1.1044002897500524</v>
      </c>
      <c r="D116">
        <f>Sheet1!I12</f>
        <v>1</v>
      </c>
    </row>
    <row r="117" spans="2:4" x14ac:dyDescent="0.2">
      <c r="B117" t="s">
        <v>20</v>
      </c>
      <c r="C117">
        <f>SQRT((Sheet1!J12-Sheet1!J13)^2+(Sheet1!K12-Sheet1!K13)^2+(Sheet1!L12-Sheet1!L13)^2+(Sheet1!M12-Sheet1!M13)^2)</f>
        <v>1.0246950765959599</v>
      </c>
      <c r="D117">
        <f>Sheet1!I13</f>
        <v>2</v>
      </c>
    </row>
    <row r="118" spans="2:4" x14ac:dyDescent="0.2">
      <c r="B118" t="s">
        <v>21</v>
      </c>
      <c r="C118">
        <f>SQRT((Sheet1!J13-Sheet1!J14)^2+(Sheet1!K13-Sheet1!K14)^2+(Sheet1!L13-Sheet1!L14)^2+(Sheet1!M13-Sheet1!M14)^2)</f>
        <v>0.31953090617340918</v>
      </c>
      <c r="D118">
        <f>Sheet1!I14</f>
        <v>2</v>
      </c>
    </row>
    <row r="119" spans="2:4" x14ac:dyDescent="0.2">
      <c r="B119" t="s">
        <v>22</v>
      </c>
      <c r="C119">
        <f>SQRT((Sheet1!J14-Sheet1!J15)^2+(Sheet1!K14-Sheet1!K15)^2+(Sheet1!L14-Sheet1!L15)^2+(Sheet1!M14-Sheet1!M15)^2)</f>
        <v>0.51195702944680821</v>
      </c>
      <c r="D119">
        <f>Sheet1!I15</f>
        <v>2</v>
      </c>
    </row>
    <row r="120" spans="2:4" x14ac:dyDescent="0.2">
      <c r="B120" t="s">
        <v>23</v>
      </c>
      <c r="C120">
        <f>SQRT((Sheet1!J15-Sheet1!J16)^2+(Sheet1!K15-Sheet1!K16)^2+(Sheet1!L15-Sheet1!L16)^2+(Sheet1!M15-Sheet1!M16)^2)</f>
        <v>1.0699532700076204</v>
      </c>
      <c r="D120">
        <f>Sheet1!I16</f>
        <v>2</v>
      </c>
    </row>
    <row r="121" spans="2:4" x14ac:dyDescent="0.2">
      <c r="B121" t="s">
        <v>24</v>
      </c>
      <c r="C121">
        <f>SQRT((Sheet1!J16-Sheet1!J17)^2+(Sheet1!K16-Sheet1!K17)^2+(Sheet1!L16-Sheet1!L17)^2+(Sheet1!M16-Sheet1!M17)^2)</f>
        <v>0.38052595180880905</v>
      </c>
      <c r="D121">
        <f>Sheet1!I17</f>
        <v>2</v>
      </c>
    </row>
    <row r="122" spans="2:4" x14ac:dyDescent="0.2">
      <c r="B122" t="s">
        <v>25</v>
      </c>
      <c r="C122">
        <f>SQRT((Sheet1!J17-Sheet1!J18)^2+(Sheet1!K17-Sheet1!K18)^2+(Sheet1!L17-Sheet1!L18)^2+(Sheet1!M17-Sheet1!M18)^2)</f>
        <v>1.0892658077806354</v>
      </c>
      <c r="D122">
        <f>Sheet1!I18</f>
        <v>1</v>
      </c>
    </row>
    <row r="123" spans="2:4" x14ac:dyDescent="0.2">
      <c r="B123" t="s">
        <v>26</v>
      </c>
      <c r="C123">
        <f>SQRT((Sheet1!J18-Sheet1!J19)^2+(Sheet1!K18-Sheet1!K19)^2+(Sheet1!L18-Sheet1!L19)^2+(Sheet1!M18-Sheet1!M19)^2)</f>
        <v>0.122065556157337</v>
      </c>
      <c r="D123">
        <f>Sheet1!I19</f>
        <v>2</v>
      </c>
    </row>
    <row r="124" spans="2:4" x14ac:dyDescent="0.2">
      <c r="B124" t="s">
        <v>27</v>
      </c>
      <c r="C124">
        <f>SQRT((Sheet1!J19-Sheet1!J20)^2+(Sheet1!K19-Sheet1!K20)^2+(Sheet1!L19-Sheet1!L20)^2+(Sheet1!M19-Sheet1!M20)^2)</f>
        <v>0.3132091952673165</v>
      </c>
      <c r="D124">
        <f>Sheet1!I20</f>
        <v>2</v>
      </c>
    </row>
    <row r="125" spans="2:4" x14ac:dyDescent="0.2">
      <c r="B125" t="s">
        <v>28</v>
      </c>
      <c r="C125">
        <f>SQRT((Sheet1!J20-Sheet1!J21)^2+(Sheet1!K20-Sheet1!K21)^2+(Sheet1!L20-Sheet1!L21)^2+(Sheet1!M20-Sheet1!M21)^2)</f>
        <v>1.1186152153444007</v>
      </c>
      <c r="D125">
        <f>Sheet1!I21</f>
        <v>1</v>
      </c>
    </row>
    <row r="126" spans="2:4" x14ac:dyDescent="0.2">
      <c r="B126" t="s">
        <v>29</v>
      </c>
      <c r="C126">
        <f>SQRT((Sheet1!J21-Sheet1!J22)^2+(Sheet1!K21-Sheet1!K22)^2+(Sheet1!L21-Sheet1!L22)^2+(Sheet1!M21-Sheet1!M22)^2)</f>
        <v>0.11704699910719631</v>
      </c>
      <c r="D126">
        <f>Sheet1!I22</f>
        <v>1</v>
      </c>
    </row>
    <row r="127" spans="2:4" x14ac:dyDescent="0.2">
      <c r="B127" t="s">
        <v>30</v>
      </c>
      <c r="C127">
        <f>SQRT((Sheet1!J22-Sheet1!J23)^2+(Sheet1!K22-Sheet1!K23)^2+(Sheet1!L22-Sheet1!L23)^2+(Sheet1!M22-Sheet1!M23)^2)</f>
        <v>1.178303865732435</v>
      </c>
      <c r="D127">
        <f>Sheet1!I23</f>
        <v>1</v>
      </c>
    </row>
    <row r="128" spans="2:4" x14ac:dyDescent="0.2">
      <c r="B128" t="s">
        <v>31</v>
      </c>
      <c r="C128">
        <f>SQRT((Sheet1!J23-Sheet1!J24)^2+(Sheet1!K23-Sheet1!K24)^2+(Sheet1!L23-Sheet1!L24)^2+(Sheet1!M23-Sheet1!M24)^2)</f>
        <v>0.80529497701152963</v>
      </c>
      <c r="D128">
        <f>Sheet1!I24</f>
        <v>2</v>
      </c>
    </row>
    <row r="129" spans="2:4" x14ac:dyDescent="0.2">
      <c r="B129" t="s">
        <v>32</v>
      </c>
      <c r="C129">
        <f>SQRT((Sheet1!J24-Sheet1!J25)^2+(Sheet1!K24-Sheet1!K25)^2+(Sheet1!L24-Sheet1!L25)^2+(Sheet1!M24-Sheet1!M25)^2)</f>
        <v>1.0054352291420865</v>
      </c>
      <c r="D129">
        <f>Sheet1!I25</f>
        <v>2</v>
      </c>
    </row>
    <row r="130" spans="2:4" x14ac:dyDescent="0.2">
      <c r="B130" t="s">
        <v>33</v>
      </c>
      <c r="C130">
        <f>SQRT((Sheet1!J25-Sheet1!J26)^2+(Sheet1!K25-Sheet1!K26)^2+(Sheet1!L25-Sheet1!L26)^2+(Sheet1!M25-Sheet1!M26)^2)</f>
        <v>0.39</v>
      </c>
      <c r="D130">
        <f>Sheet1!I26</f>
        <v>2</v>
      </c>
    </row>
    <row r="131" spans="2:4" x14ac:dyDescent="0.2">
      <c r="B131" t="s">
        <v>34</v>
      </c>
      <c r="C131">
        <f>SQRT((Sheet1!J26-Sheet1!J27)^2+(Sheet1!K26-Sheet1!K27)^2+(Sheet1!L26-Sheet1!L27)^2+(Sheet1!M26-Sheet1!M27)^2)</f>
        <v>0.33763886032268259</v>
      </c>
      <c r="D131">
        <f>Sheet1!I27</f>
        <v>2</v>
      </c>
    </row>
    <row r="132" spans="2:4" x14ac:dyDescent="0.2">
      <c r="B132" t="s">
        <v>35</v>
      </c>
      <c r="C132">
        <f>SQRT((Sheet1!J27-Sheet1!J28)^2+(Sheet1!K27-Sheet1!K28)^2+(Sheet1!L27-Sheet1!L28)^2+(Sheet1!M27-Sheet1!M28)^2)</f>
        <v>0.45343136195018535</v>
      </c>
      <c r="D132">
        <f>Sheet1!I28</f>
        <v>1</v>
      </c>
    </row>
    <row r="133" spans="2:4" x14ac:dyDescent="0.2">
      <c r="B133" t="s">
        <v>36</v>
      </c>
      <c r="C133">
        <f>SQRT((Sheet1!J28-Sheet1!J29)^2+(Sheet1!K28-Sheet1!K29)^2+(Sheet1!L28-Sheet1!L29)^2+(Sheet1!M28-Sheet1!M29)^2)</f>
        <v>1.0626382263028185</v>
      </c>
      <c r="D133">
        <f>Sheet1!I29</f>
        <v>2</v>
      </c>
    </row>
    <row r="134" spans="2:4" x14ac:dyDescent="0.2">
      <c r="B134" t="s">
        <v>37</v>
      </c>
      <c r="C134">
        <f>SQRT((Sheet1!J29-Sheet1!J30)^2+(Sheet1!K29-Sheet1!K30)^2+(Sheet1!L29-Sheet1!L30)^2+(Sheet1!M29-Sheet1!M30)^2)</f>
        <v>0.31448370387032776</v>
      </c>
      <c r="D134">
        <f>Sheet1!I30</f>
        <v>1</v>
      </c>
    </row>
    <row r="135" spans="2:4" x14ac:dyDescent="0.2">
      <c r="B135" t="s">
        <v>38</v>
      </c>
      <c r="C135">
        <f>SQRT((Sheet1!J30-Sheet1!J31)^2+(Sheet1!K30-Sheet1!K31)^2+(Sheet1!L30-Sheet1!L31)^2+(Sheet1!M30-Sheet1!M31)^2)</f>
        <v>0.16155494421403513</v>
      </c>
      <c r="D135">
        <f>Sheet1!I31</f>
        <v>2</v>
      </c>
    </row>
    <row r="136" spans="2:4" x14ac:dyDescent="0.2">
      <c r="B136" t="s">
        <v>39</v>
      </c>
      <c r="C136">
        <f>SQRT((Sheet1!J31-Sheet1!J32)^2+(Sheet1!K31-Sheet1!K32)^2+(Sheet1!L31-Sheet1!L32)^2+(Sheet1!M31-Sheet1!M32)^2)</f>
        <v>1.3365627557282898</v>
      </c>
      <c r="D136">
        <f>Sheet1!I32</f>
        <v>0</v>
      </c>
    </row>
    <row r="137" spans="2:4" x14ac:dyDescent="0.2">
      <c r="B137" t="s">
        <v>40</v>
      </c>
      <c r="C137">
        <f>SQRT((Sheet1!J32-Sheet1!J33)^2+(Sheet1!K32-Sheet1!K33)^2+(Sheet1!L32-Sheet1!L33)^2+(Sheet1!M32-Sheet1!M33)^2)</f>
        <v>0</v>
      </c>
      <c r="D137">
        <f>Sheet1!I33</f>
        <v>0</v>
      </c>
    </row>
    <row r="138" spans="2:4" x14ac:dyDescent="0.2">
      <c r="B138" t="s">
        <v>41</v>
      </c>
      <c r="C138">
        <f>SQRT((Sheet1!J33-Sheet1!J34)^2+(Sheet1!K33-Sheet1!K34)^2+(Sheet1!L33-Sheet1!L34)^2+(Sheet1!M33-Sheet1!M34)^2)</f>
        <v>0</v>
      </c>
      <c r="D138">
        <f>Sheet1!I34</f>
        <v>0</v>
      </c>
    </row>
  </sheetData>
  <autoFilter ref="A1:D1" xr:uid="{68222BE9-0E88-6140-80C8-1C28D3B14DB4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23F5-ADB8-464E-91C9-92A40B417A58}">
  <dimension ref="A1:N6"/>
  <sheetViews>
    <sheetView topLeftCell="E1" workbookViewId="0">
      <selection activeCell="H2" sqref="H2"/>
    </sheetView>
  </sheetViews>
  <sheetFormatPr baseColWidth="10" defaultRowHeight="16" x14ac:dyDescent="0.2"/>
  <sheetData>
    <row r="1" spans="1:14" ht="17" x14ac:dyDescent="0.25">
      <c r="A1" t="s">
        <v>46</v>
      </c>
      <c r="B1" s="3" t="s">
        <v>47</v>
      </c>
      <c r="C1" t="s">
        <v>48</v>
      </c>
      <c r="D1" t="s">
        <v>49</v>
      </c>
      <c r="E1" t="s">
        <v>50</v>
      </c>
      <c r="F1" s="3" t="s">
        <v>51</v>
      </c>
      <c r="G1" t="s">
        <v>52</v>
      </c>
      <c r="H1" t="s">
        <v>53</v>
      </c>
      <c r="I1" s="3" t="s">
        <v>54</v>
      </c>
      <c r="J1" t="s">
        <v>55</v>
      </c>
      <c r="K1" s="3" t="s">
        <v>56</v>
      </c>
      <c r="L1" t="s">
        <v>57</v>
      </c>
      <c r="M1" t="s">
        <v>58</v>
      </c>
      <c r="N1" t="s">
        <v>59</v>
      </c>
    </row>
    <row r="2" spans="1:14" x14ac:dyDescent="0.2">
      <c r="A2" t="s">
        <v>9</v>
      </c>
      <c r="B2">
        <f>Sheet1!B2</f>
        <v>2</v>
      </c>
      <c r="C2" t="str">
        <f>INDEX(Sheet2!B2:B29,MATCH(SMALL(Sheet2!C2:C29,1),Sheet2!C2:C29,0))</f>
        <v>Training 4</v>
      </c>
      <c r="D2">
        <f>INDEX(Sheet2!D2:D29,MATCH(SMALL(Sheet2!C2:C29,1),Sheet2!C2:C29,0))</f>
        <v>2</v>
      </c>
      <c r="E2" t="b">
        <f>B2=D2</f>
        <v>1</v>
      </c>
      <c r="F2">
        <f>INDEX(Sheet2!D2:D29,MATCH(SMALL(Sheet2!C2:C29,1),Sheet2!C2:C29,0))</f>
        <v>2</v>
      </c>
      <c r="G2">
        <f>INDEX(Sheet2!D2:D29,MATCH(SMALL(Sheet2!C2:C29,2),Sheet2!C2:C29,0))</f>
        <v>2</v>
      </c>
      <c r="H2">
        <f>IF(COUNTIF(F2:G2,1)&gt;COUNTIF(F2:G2,2),1,2)</f>
        <v>2</v>
      </c>
      <c r="I2" t="b">
        <f>B2=H2</f>
        <v>1</v>
      </c>
      <c r="J2">
        <f>INDEX(Sheet2!D2:D29,MATCH(SMALL(Sheet2!C2:C29,1),Sheet2!C2:C29,0))</f>
        <v>2</v>
      </c>
      <c r="K2">
        <f>INDEX(Sheet2!D2:D29,MATCH(SMALL(Sheet2!C2:C29,2),Sheet2!C2:C29,0))</f>
        <v>2</v>
      </c>
      <c r="L2">
        <f>INDEX(Sheet2!D2:D29,MATCH(SMALL(Sheet2!C2:C29,3),Sheet2!C2:C29,0))</f>
        <v>1</v>
      </c>
      <c r="M2">
        <f>IF(COUNTIF(J2:L2,1)&gt;COUNTIF(J2:L2,2),1,2)</f>
        <v>2</v>
      </c>
      <c r="N2" t="b">
        <f>B2=M2</f>
        <v>1</v>
      </c>
    </row>
    <row r="3" spans="1:14" x14ac:dyDescent="0.2">
      <c r="A3" t="s">
        <v>42</v>
      </c>
      <c r="B3">
        <f>Sheet1!B3</f>
        <v>1</v>
      </c>
      <c r="C3" t="str">
        <f>INDEX(Sheet2!B30:B57,MATCH(SMALL(Sheet2!C30:C57,1),Sheet2!C30:C57,0))</f>
        <v>Training 8</v>
      </c>
      <c r="D3">
        <f>INDEX(Sheet2!D30:D57,MATCH(SMALL(Sheet2!C30:C57,1),Sheet2!C30:C57,0))</f>
        <v>2</v>
      </c>
      <c r="E3" t="b">
        <f t="shared" ref="E3:E6" si="0">B3=D3</f>
        <v>0</v>
      </c>
      <c r="F3">
        <f>INDEX(Sheet2!D30:D57,MATCH(SMALL(Sheet2!C30:C57,1),Sheet2!C30:C57,0))</f>
        <v>2</v>
      </c>
      <c r="G3">
        <f>INDEX(Sheet2!D30:D57,MATCH(SMALL(Sheet2!C30:C57,2),Sheet2!C30:C57,0))</f>
        <v>2</v>
      </c>
      <c r="H3">
        <f>IF(COUNTIF(F3:G3,1)&gt;COUNTIF(F3:G3,2),1,2)</f>
        <v>2</v>
      </c>
      <c r="I3" t="b">
        <f t="shared" ref="I3:I6" si="1">B3=H3</f>
        <v>0</v>
      </c>
      <c r="J3">
        <f>INDEX(Sheet2!D30:D57,MATCH(SMALL(Sheet2!C30:C57,1),Sheet2!C30:C57,0))</f>
        <v>2</v>
      </c>
      <c r="K3">
        <f>INDEX(Sheet2!D30:D57,MATCH(SMALL(Sheet2!C30:C57,2),Sheet2!C30:C57,0))</f>
        <v>2</v>
      </c>
      <c r="L3">
        <f>INDEX(Sheet2!D30:D57,MATCH(SMALL(Sheet2!C30:C57,3),Sheet2!C30:C57,0))</f>
        <v>1</v>
      </c>
      <c r="M3">
        <f>IF(COUNTIF(J3:L3,1)&gt;COUNTIF(J3:L3,2),1,2)</f>
        <v>2</v>
      </c>
      <c r="N3" t="b">
        <f t="shared" ref="N3:N6" si="2">B3=M3</f>
        <v>0</v>
      </c>
    </row>
    <row r="4" spans="1:14" x14ac:dyDescent="0.2">
      <c r="A4" t="s">
        <v>43</v>
      </c>
      <c r="B4">
        <f>Sheet1!B4</f>
        <v>1</v>
      </c>
      <c r="C4" t="str">
        <f>INDEX(Sheet2!B58:B82,MATCH(SMALL(Sheet2!C58:C82,1),Sheet2!C58:C82,0))</f>
        <v>Training 4</v>
      </c>
      <c r="D4">
        <f>INDEX(Sheet2!D58:D82,MATCH(SMALL(Sheet2!C58:C82,1),Sheet2!C58:C82,0))</f>
        <v>2</v>
      </c>
      <c r="E4" t="b">
        <f t="shared" si="0"/>
        <v>0</v>
      </c>
      <c r="F4">
        <f>INDEX(Sheet2!D58:D82,MATCH(SMALL(Sheet2!C58:C82,1),Sheet2!C58:C82,0))</f>
        <v>2</v>
      </c>
      <c r="G4">
        <f>INDEX(Sheet2!D58:D82,MATCH(SMALL(Sheet2!C58:C82,2),Sheet2!C58:C82,0))</f>
        <v>2</v>
      </c>
      <c r="H4">
        <f>IF(COUNTIF(F4:G4,1)&gt;COUNTIF(F4:G4,2),1,2)</f>
        <v>2</v>
      </c>
      <c r="I4" t="b">
        <f t="shared" si="1"/>
        <v>0</v>
      </c>
      <c r="J4">
        <f>INDEX(Sheet2!D58:D82,MATCH(SMALL(Sheet2!C58:C82,1),Sheet2!C58:C82,0))</f>
        <v>2</v>
      </c>
      <c r="K4">
        <f>INDEX(Sheet2!D58:D82,MATCH(SMALL(Sheet2!C58:C82,2),Sheet2!C58:C82,0))</f>
        <v>2</v>
      </c>
      <c r="L4">
        <f>INDEX(Sheet2!D58:D82,MATCH(SMALL(Sheet2!C58:C82,3),Sheet2!C58:C82,0))</f>
        <v>2</v>
      </c>
      <c r="M4">
        <f>IF(COUNTIF(J4:L4,1)&gt;COUNTIF(J4:L4,2),1,2)</f>
        <v>2</v>
      </c>
      <c r="N4" t="b">
        <f t="shared" si="2"/>
        <v>0</v>
      </c>
    </row>
    <row r="5" spans="1:14" x14ac:dyDescent="0.2">
      <c r="A5" t="s">
        <v>44</v>
      </c>
      <c r="B5">
        <f>Sheet1!B5</f>
        <v>2</v>
      </c>
      <c r="C5" t="str">
        <f>INDEX(Sheet2!B83:B110,MATCH(SMALL(Sheet2!C83:C110,1),Sheet2!C83:C110,0))</f>
        <v>Training 28</v>
      </c>
      <c r="D5">
        <f>INDEX(Sheet2!D83:D110,MATCH(SMALL(Sheet2!C83:C110,1),Sheet2!C83:C110,0))</f>
        <v>0</v>
      </c>
      <c r="E5" t="b">
        <f t="shared" si="0"/>
        <v>0</v>
      </c>
      <c r="F5">
        <f>INDEX(Sheet2!D83:D110,MATCH(SMALL(Sheet2!C83:C110,1),Sheet2!C83:C110,0))</f>
        <v>0</v>
      </c>
      <c r="G5">
        <f>INDEX(Sheet2!D83:D110,MATCH(SMALL(Sheet2!C83:C110,2),Sheet2!C83:C110,0))</f>
        <v>1</v>
      </c>
      <c r="H5">
        <f>IF(COUNTIF(F5:G5,1)&gt;COUNTIF(F5:G5,2),1,2)</f>
        <v>1</v>
      </c>
      <c r="I5" t="b">
        <f t="shared" si="1"/>
        <v>0</v>
      </c>
      <c r="J5">
        <f>INDEX(Sheet2!D83:D110,MATCH(SMALL(Sheet2!C83:C110,1),Sheet2!C83:C110,0))</f>
        <v>0</v>
      </c>
      <c r="K5">
        <f>INDEX(Sheet2!D83:D110,MATCH(SMALL(Sheet2!C83:C110,2),Sheet2!C83:C110,0))</f>
        <v>1</v>
      </c>
      <c r="L5">
        <f>INDEX(Sheet2!D83:D110,MATCH(SMALL(Sheet2!C83:C110,3),Sheet2!C83:C110,0))</f>
        <v>2</v>
      </c>
      <c r="M5">
        <f>IF(COUNTIF(J5:L5,1)&gt;COUNTIF(J5:L5,2),1,2)</f>
        <v>2</v>
      </c>
      <c r="N5" t="b">
        <f t="shared" si="2"/>
        <v>1</v>
      </c>
    </row>
    <row r="6" spans="1:14" x14ac:dyDescent="0.2">
      <c r="A6" t="s">
        <v>45</v>
      </c>
      <c r="B6">
        <f>Sheet1!B6</f>
        <v>1</v>
      </c>
      <c r="C6" t="str">
        <f>INDEX(Sheet2!B111:B138,MATCH(SMALL(Sheet2!C111:C138,1),Sheet2!C111:C138,0))</f>
        <v>Training 27</v>
      </c>
      <c r="D6">
        <f>INDEX(Sheet2!D111:D138,MATCH(SMALL(Sheet2!C111:C138,1),Sheet2!C111:C138,0))</f>
        <v>0</v>
      </c>
      <c r="E6" t="b">
        <f t="shared" si="0"/>
        <v>0</v>
      </c>
      <c r="F6">
        <f>INDEX(Sheet2!D111:D138,MATCH(SMALL(Sheet2!C111:C138,1),Sheet2!C111:C138,0))</f>
        <v>0</v>
      </c>
      <c r="G6">
        <f>INDEX(Sheet2!D111:D138,MATCH(SMALL(Sheet2!C111:C138,2),Sheet2!C111:C138,0))</f>
        <v>0</v>
      </c>
      <c r="H6">
        <f>IF(COUNTIF(F6:G6,1)&gt;COUNTIF(F6:G6,2),1,2)</f>
        <v>2</v>
      </c>
      <c r="I6" t="b">
        <f t="shared" si="1"/>
        <v>0</v>
      </c>
      <c r="J6">
        <f>INDEX(Sheet2!D111:D138,MATCH(SMALL(Sheet2!C111:C138,1),Sheet2!C111:C138,0))</f>
        <v>0</v>
      </c>
      <c r="K6">
        <f>INDEX(Sheet2!D111:D138,MATCH(SMALL(Sheet2!C111:C138,2),Sheet2!C111:C138,0))</f>
        <v>0</v>
      </c>
      <c r="L6">
        <f>INDEX(Sheet2!D111:D138,MATCH(SMALL(Sheet2!C111:C138,3),Sheet2!C111:C138,0))</f>
        <v>1</v>
      </c>
      <c r="M6">
        <f>IF(COUNTIF(J6:L6,1)&gt;COUNTIF(J6:L6,2),1,2)</f>
        <v>1</v>
      </c>
      <c r="N6" t="b">
        <f t="shared" si="2"/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9015-570C-7142-9495-B504749FF9E5}">
  <dimension ref="A1:I4"/>
  <sheetViews>
    <sheetView workbookViewId="0">
      <selection activeCell="F4" sqref="F4"/>
    </sheetView>
  </sheetViews>
  <sheetFormatPr baseColWidth="10" defaultRowHeight="16" x14ac:dyDescent="0.2"/>
  <cols>
    <col min="1" max="16384" width="10.83203125" style="4"/>
  </cols>
  <sheetData>
    <row r="1" spans="1:9" x14ac:dyDescent="0.2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</row>
    <row r="2" spans="1:9" x14ac:dyDescent="0.2">
      <c r="A2" s="4" t="s">
        <v>60</v>
      </c>
      <c r="B2" s="4">
        <f>COUNTIFS(Sheet3!B2:B6,1,Sheet3!D2:D6,1)</f>
        <v>0</v>
      </c>
      <c r="C2" s="4">
        <f>COUNTIFS(Sheet3!B2:B6,2,Sheet3!D2:D6,1)</f>
        <v>0</v>
      </c>
      <c r="D2" s="4">
        <f>COUNTIFS(Sheet3!B2:B6,2,Sheet3!D2:D6,2)</f>
        <v>1</v>
      </c>
      <c r="E2" s="4">
        <f>COUNTIFS(Sheet3!B2:B6,1,Sheet3!D2:D6,2)</f>
        <v>2</v>
      </c>
      <c r="F2" s="4">
        <f>(B2+D2)/(B2+C2+D2+E2)</f>
        <v>0.33333333333333331</v>
      </c>
      <c r="G2" s="4">
        <f>IF(B2+C2=0,0,B2/(B2+C2))</f>
        <v>0</v>
      </c>
      <c r="H2" s="4">
        <f>IF(B2+E2=0,0,B2/(B2+E2))</f>
        <v>0</v>
      </c>
      <c r="I2" s="4">
        <f>IF(OR(G2=0,H2=0),0,2*G2*H2/(G2+H2))</f>
        <v>0</v>
      </c>
    </row>
    <row r="3" spans="1:9" x14ac:dyDescent="0.2">
      <c r="A3" s="4" t="s">
        <v>61</v>
      </c>
      <c r="B3" s="4">
        <f>COUNTIFS(Sheet3!B2:B6,1,Sheet3!H2:H6,1)</f>
        <v>0</v>
      </c>
      <c r="C3" s="4">
        <f>COUNTIFS(Sheet3!B2:B6,2,Sheet3!H2:H6,1)</f>
        <v>1</v>
      </c>
      <c r="D3" s="4">
        <f>COUNTIFS(Sheet3!B2:B6,2,Sheet3!H2:H6,2)</f>
        <v>1</v>
      </c>
      <c r="E3" s="4">
        <f>COUNTIFS(Sheet3!B2:B6,1,Sheet3!H2:H6,2)</f>
        <v>3</v>
      </c>
      <c r="F3" s="4">
        <f>(B3+D3)/(B3+C3+D3+E3)</f>
        <v>0.2</v>
      </c>
      <c r="G3" s="4">
        <f>IF(B3+C3=0,0,B3/(B3+C3))</f>
        <v>0</v>
      </c>
      <c r="H3" s="4">
        <f>IF(B3+E3=0,0,B3/(B3+E3))</f>
        <v>0</v>
      </c>
      <c r="I3" s="4">
        <f>IF(OR(G3=0,H3=0),0,2*G3*H3/(G3+H3))</f>
        <v>0</v>
      </c>
    </row>
    <row r="4" spans="1:9" x14ac:dyDescent="0.2">
      <c r="A4" s="4" t="s">
        <v>62</v>
      </c>
      <c r="B4" s="4">
        <f>COUNTIFS(Sheet3!B2:B6,1,Sheet3!M2:M6,1)</f>
        <v>1</v>
      </c>
      <c r="C4" s="4">
        <f>COUNTIFS(Sheet3!B2:B6,2,Sheet3!M2:M6,1)</f>
        <v>0</v>
      </c>
      <c r="D4" s="4">
        <f>COUNTIFS(Sheet3!B2:B6,2,Sheet3!M2:M6,2)</f>
        <v>2</v>
      </c>
      <c r="E4" s="4">
        <f>COUNTIFS(Sheet3!B2:B6,1,Sheet3!M2:M6,2)</f>
        <v>2</v>
      </c>
      <c r="F4" s="4">
        <f>(B4+D4)/(B4+C4+D4+E4)</f>
        <v>0.6</v>
      </c>
      <c r="G4" s="4">
        <f>IF(B4+C4=0,0,B4/(B4+C4))</f>
        <v>1</v>
      </c>
      <c r="H4" s="4">
        <f>IF(B4+E4=0,0,B4/(B4+E4))</f>
        <v>0.33333333333333331</v>
      </c>
      <c r="I4" s="4">
        <f>IF(OR(G4=0,H4=0),0,2*G4*H4/(G4+H4))</f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2025-03-16T21:14:47Z</dcterms:created>
  <dcterms:modified xsi:type="dcterms:W3CDTF">2025-03-17T01:21:13Z</dcterms:modified>
</cp:coreProperties>
</file>