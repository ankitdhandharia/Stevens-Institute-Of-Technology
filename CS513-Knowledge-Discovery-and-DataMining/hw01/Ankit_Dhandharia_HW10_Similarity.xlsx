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pritinagdive/Desktop/"/>
    </mc:Choice>
  </mc:AlternateContent>
  <xr:revisionPtr revIDLastSave="0" documentId="13_ncr:1_{A80CA106-6990-3243-B936-948D42A4089F}" xr6:coauthVersionLast="47" xr6:coauthVersionMax="47" xr10:uidLastSave="{00000000-0000-0000-0000-000000000000}"/>
  <bookViews>
    <workbookView xWindow="0" yWindow="740" windowWidth="30240" windowHeight="18900" xr2:uid="{A1452441-4295-4B39-9C77-7DDC2C1D2B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H25" i="1"/>
  <c r="G25" i="1"/>
  <c r="F25" i="1"/>
  <c r="E25" i="1"/>
  <c r="D25" i="1"/>
  <c r="C25" i="1"/>
  <c r="I24" i="1"/>
  <c r="H24" i="1"/>
  <c r="G24" i="1"/>
  <c r="F24" i="1"/>
  <c r="E24" i="1"/>
  <c r="D24" i="1"/>
  <c r="C24" i="1"/>
  <c r="I23" i="1"/>
  <c r="H23" i="1"/>
  <c r="G23" i="1"/>
  <c r="F23" i="1"/>
  <c r="E23" i="1"/>
  <c r="D23" i="1"/>
  <c r="C23" i="1"/>
  <c r="I22" i="1"/>
  <c r="H22" i="1"/>
  <c r="G22" i="1"/>
  <c r="F22" i="1"/>
  <c r="E22" i="1"/>
  <c r="D22" i="1"/>
  <c r="C22" i="1"/>
  <c r="I21" i="1"/>
  <c r="H21" i="1"/>
  <c r="G21" i="1"/>
  <c r="F21" i="1"/>
  <c r="E21" i="1"/>
  <c r="D21" i="1"/>
  <c r="C21" i="1"/>
  <c r="I20" i="1"/>
  <c r="H20" i="1"/>
  <c r="G20" i="1"/>
  <c r="F20" i="1"/>
  <c r="E20" i="1"/>
  <c r="D20" i="1"/>
  <c r="C20" i="1"/>
  <c r="I19" i="1"/>
  <c r="H19" i="1"/>
  <c r="G19" i="1"/>
  <c r="F19" i="1"/>
  <c r="E19" i="1"/>
  <c r="D19" i="1"/>
  <c r="C19" i="1"/>
  <c r="I37" i="1" a="1"/>
  <c r="I37" i="1"/>
  <c r="H37" i="1" a="1"/>
  <c r="H37" i="1" s="1"/>
  <c r="G37" i="1" a="1"/>
  <c r="G37" i="1" s="1"/>
  <c r="F37" i="1" a="1"/>
  <c r="F37" i="1"/>
  <c r="E37" i="1" a="1"/>
  <c r="E37" i="1" s="1"/>
  <c r="D37" i="1" a="1"/>
  <c r="D37" i="1" s="1"/>
  <c r="C37" i="1" a="1"/>
  <c r="C37" i="1"/>
  <c r="I36" i="1" a="1"/>
  <c r="I36" i="1" s="1"/>
  <c r="H36" i="1" a="1"/>
  <c r="H36" i="1"/>
  <c r="G36" i="1" a="1"/>
  <c r="G36" i="1" s="1"/>
  <c r="F36" i="1" a="1"/>
  <c r="F36" i="1" s="1"/>
  <c r="E36" i="1" a="1"/>
  <c r="E36" i="1" s="1"/>
  <c r="D36" i="1" a="1"/>
  <c r="D36" i="1" s="1"/>
  <c r="C36" i="1" a="1"/>
  <c r="C36" i="1" s="1"/>
  <c r="I35" i="1" a="1"/>
  <c r="I35" i="1" s="1"/>
  <c r="H35" i="1" a="1"/>
  <c r="H35" i="1" s="1"/>
  <c r="G35" i="1" a="1"/>
  <c r="G35" i="1"/>
  <c r="F35" i="1" a="1"/>
  <c r="F35" i="1" s="1"/>
  <c r="E35" i="1" a="1"/>
  <c r="E35" i="1" s="1"/>
  <c r="D35" i="1" a="1"/>
  <c r="D35" i="1" s="1"/>
  <c r="C35" i="1" a="1"/>
  <c r="C35" i="1" s="1"/>
  <c r="I34" i="1" a="1"/>
  <c r="I34" i="1" s="1"/>
  <c r="H34" i="1" a="1"/>
  <c r="H34" i="1"/>
  <c r="G34" i="1" a="1"/>
  <c r="G34" i="1"/>
  <c r="F34" i="1" a="1"/>
  <c r="F34" i="1"/>
  <c r="E34" i="1" a="1"/>
  <c r="E34" i="1" s="1"/>
  <c r="D34" i="1" a="1"/>
  <c r="D34" i="1" s="1"/>
  <c r="C34" i="1" a="1"/>
  <c r="C34" i="1" s="1"/>
  <c r="I33" i="1" a="1"/>
  <c r="I33" i="1" s="1"/>
  <c r="H33" i="1" a="1"/>
  <c r="H33" i="1" s="1"/>
  <c r="G33" i="1" a="1"/>
  <c r="G33" i="1"/>
  <c r="F33" i="1" a="1"/>
  <c r="F33" i="1" s="1"/>
  <c r="E33" i="1" a="1"/>
  <c r="E33" i="1" s="1"/>
  <c r="D33" i="1" a="1"/>
  <c r="D33" i="1" s="1"/>
  <c r="C33" i="1" a="1"/>
  <c r="C33" i="1" s="1"/>
  <c r="I32" i="1" a="1"/>
  <c r="I32" i="1"/>
  <c r="H32" i="1" a="1"/>
  <c r="H32" i="1"/>
  <c r="G32" i="1" a="1"/>
  <c r="G32" i="1"/>
  <c r="F32" i="1" a="1"/>
  <c r="F32" i="1" s="1"/>
  <c r="E32" i="1" a="1"/>
  <c r="E32" i="1"/>
  <c r="D32" i="1" a="1"/>
  <c r="D32" i="1" s="1"/>
  <c r="C32" i="1" a="1"/>
  <c r="C32" i="1"/>
  <c r="I31" i="1" a="1"/>
  <c r="I31" i="1" s="1"/>
  <c r="H31" i="1" a="1"/>
  <c r="H31" i="1" s="1"/>
  <c r="G31" i="1" a="1"/>
  <c r="G31" i="1"/>
  <c r="F31" i="1" a="1"/>
  <c r="F31" i="1" s="1"/>
  <c r="E31" i="1" a="1"/>
  <c r="E31" i="1" s="1"/>
  <c r="D31" i="1" a="1"/>
  <c r="D31" i="1" s="1"/>
  <c r="C31" i="1" a="1"/>
  <c r="C3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<sst xmlns="http://schemas.openxmlformats.org/spreadsheetml/2006/main" count="78" uniqueCount="48">
  <si>
    <t>Brief Description of the task: To Calculate the Jaccard and cosine similarities for the recipes in the “Recipe.csv” file.</t>
  </si>
  <si>
    <t>Recipe</t>
  </si>
  <si>
    <t>Tomato</t>
  </si>
  <si>
    <t>Garlic</t>
  </si>
  <si>
    <t>Salt</t>
  </si>
  <si>
    <t>Onion</t>
  </si>
  <si>
    <t>TomatoPaste</t>
  </si>
  <si>
    <t>OliveOil</t>
  </si>
  <si>
    <t>Celery</t>
  </si>
  <si>
    <t>Broth</t>
  </si>
  <si>
    <t>GreenPepper</t>
  </si>
  <si>
    <t>Cumin</t>
  </si>
  <si>
    <t>Flour</t>
  </si>
  <si>
    <t>BrownSugar</t>
  </si>
  <si>
    <t>BayLeaf</t>
  </si>
  <si>
    <t>GroundBeef</t>
  </si>
  <si>
    <t>BlackPepper</t>
  </si>
  <si>
    <t>ChiliPowder</t>
  </si>
  <si>
    <t>Cilantro</t>
  </si>
  <si>
    <t>Carrot</t>
  </si>
  <si>
    <t>CayennePepper</t>
  </si>
  <si>
    <t>Oregano</t>
  </si>
  <si>
    <t>Oil</t>
  </si>
  <si>
    <t>Parsley</t>
  </si>
  <si>
    <t>PorkSausage</t>
  </si>
  <si>
    <t>RedPepper</t>
  </si>
  <si>
    <t>Paprika</t>
  </si>
  <si>
    <t>Thyme</t>
  </si>
  <si>
    <t>Tomatillo</t>
  </si>
  <si>
    <t>JalapenoPepper</t>
  </si>
  <si>
    <t>WorcestershireSauce</t>
  </si>
  <si>
    <t>Lime</t>
  </si>
  <si>
    <t>Eggplant</t>
  </si>
  <si>
    <t>GreenOlives</t>
  </si>
  <si>
    <t>Capers</t>
  </si>
  <si>
    <t>Sugar</t>
  </si>
  <si>
    <t>Spag_Sauce</t>
  </si>
  <si>
    <t>Spag_Meat_Sauce</t>
  </si>
  <si>
    <t>Eggplant_Relish</t>
  </si>
  <si>
    <t>Creole_Sauce</t>
  </si>
  <si>
    <t>Salsa</t>
  </si>
  <si>
    <t>Enchilada_Sauce</t>
  </si>
  <si>
    <t>new</t>
  </si>
  <si>
    <t>Jaccard Similarity :</t>
  </si>
  <si>
    <t>Cosine Similarity</t>
  </si>
  <si>
    <t>Name: Priti Vilas Nagdive</t>
  </si>
  <si>
    <t>CWID: 20033225</t>
  </si>
  <si>
    <t>Assignment: HW_10_Similarity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</si>
</sst>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delle Sans Devanagari Regular"/>
    </font>
    <font>
      <b/>
      <sz val="12"/>
      <color theme="1"/>
      <name val="Adelle Sans Devanagari Regular"/>
    </font>
    <font>
      <sz val="10"/>
      <color theme="1"/>
      <name val="Adelle Sans Devanagari Regular"/>
    </font>
    <font>
      <b/>
      <sz val="12"/>
      <color theme="1"/>
      <name val="Avenir Next Condensed Regular"/>
    </font>
    <font>
      <sz val="11"/>
      <color theme="1"/>
      <name val="Bangla Sangam MN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9" xfId="0" applyFont="1" applyBorder="1"/>
    <xf numFmtId="0" fontId="1" fillId="0" borderId="1" xfId="0" applyFont="1" applyBorder="1"/>
    <xf numFmtId="0" fontId="1" fillId="0" borderId="10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3" borderId="0" xfId="0" applyFont="1" applyFill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25">
    <dxf>
      <font>
        <strike val="0"/>
        <outline val="0"/>
        <shadow val="0"/>
        <vertAlign val="baseline"/>
        <color theme="1"/>
        <name val="Adelle Sans Devanagari Regular"/>
        <scheme val="none"/>
      </font>
      <fill>
        <patternFill patternType="solid">
          <fgColor indexed="64"/>
          <bgColor theme="5" tint="0.3999755851924192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vertAlign val="baseline"/>
        <color theme="1"/>
        <name val="Adelle Sans Devanagari Regular"/>
        <scheme val="none"/>
      </font>
      <fill>
        <patternFill patternType="solid">
          <fgColor indexed="64"/>
          <bgColor theme="5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theme="1"/>
        <name val="Adelle Sans Devanagari Regular"/>
        <scheme val="none"/>
      </font>
      <fill>
        <patternFill patternType="solid">
          <fgColor indexed="64"/>
          <bgColor theme="5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theme="1"/>
        <name val="Adelle Sans Devanagari Regular"/>
        <scheme val="none"/>
      </font>
      <fill>
        <patternFill patternType="solid">
          <fgColor indexed="64"/>
          <bgColor theme="5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theme="1"/>
        <name val="Adelle Sans Devanagari Regular"/>
        <scheme val="none"/>
      </font>
      <fill>
        <patternFill patternType="solid">
          <fgColor indexed="64"/>
          <bgColor theme="5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theme="1"/>
        <name val="Adelle Sans Devanagari Regular"/>
        <scheme val="none"/>
      </font>
      <fill>
        <patternFill patternType="solid">
          <fgColor indexed="64"/>
          <bgColor theme="5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theme="1"/>
        <name val="Adelle Sans Devanagari Regular"/>
        <scheme val="none"/>
      </font>
      <fill>
        <patternFill patternType="solid">
          <fgColor indexed="64"/>
          <bgColor theme="5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theme="1"/>
        <name val="Adelle Sans Devanagari Regular"/>
        <scheme val="none"/>
      </font>
      <fill>
        <patternFill patternType="solid">
          <fgColor indexed="64"/>
          <bgColor theme="5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theme="1"/>
        <name val="Adelle Sans Devanagari Regular"/>
        <scheme val="none"/>
      </font>
      <fill>
        <patternFill patternType="solid">
          <fgColor indexed="64"/>
          <bgColor theme="5" tint="0.39997558519241921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theme="1"/>
        <name val="Adelle Sans Devanagari Regular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delle Sans Devanagari Regular"/>
        <scheme val="none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color theme="1"/>
        <name val="Adelle Sans Devanagari Regular"/>
        <scheme val="none"/>
      </font>
    </dxf>
    <dxf>
      <font>
        <strike val="0"/>
        <outline val="0"/>
        <shadow val="0"/>
        <vertAlign val="baseline"/>
        <color theme="1"/>
        <name val="Adelle Sans Devanagari Regular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theme="1"/>
        <name val="Adelle Sans Devanagari Regula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theme="1"/>
        <name val="Adelle Sans Devanagari Regula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theme="1"/>
        <name val="Adelle Sans Devanagari Regula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theme="1"/>
        <name val="Adelle Sans Devanagari Regula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theme="1"/>
        <name val="Adelle Sans Devanagari Regula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theme="1"/>
        <name val="Adelle Sans Devanagari Regula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color theme="1"/>
        <name val="Adelle Sans Devanagari Regular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705E97-6B6F-4509-A91A-941165F68800}" name="Table1" displayName="Table1" ref="B30:I37" totalsRowShown="0" headerRowDxfId="10" dataDxfId="0" headerRowBorderDxfId="24" tableBorderDxfId="23">
  <autoFilter ref="B30:I37" xr:uid="{62705E97-6B6F-4509-A91A-941165F68800}"/>
  <tableColumns count="8">
    <tableColumn id="1" xr3:uid="{BB97EEFA-2CDA-4A2D-AFC9-B0522E81DD9D}" name="Recipe" dataDxfId="8"/>
    <tableColumn id="2" xr3:uid="{B51983D2-7BBE-4C54-A4E0-A574A65AECA3}" name="Spag_Sauce" dataDxfId="7"/>
    <tableColumn id="3" xr3:uid="{D0EAD203-5DDD-4EB6-BD52-DCE8FE400364}" name="Spag_Meat_Sauce" dataDxfId="6"/>
    <tableColumn id="4" xr3:uid="{43DFFBB4-AD90-41C4-B3F5-330F8863897D}" name="Eggplant_Relish" dataDxfId="5"/>
    <tableColumn id="5" xr3:uid="{A3D8C28B-5961-42F0-AE1D-09EC09D63A07}" name="Creole_Sauce" dataDxfId="4"/>
    <tableColumn id="6" xr3:uid="{7997F440-B9D1-4BA5-94AE-96BC8F616611}" name="Salsa" dataDxfId="3"/>
    <tableColumn id="7" xr3:uid="{EDB855DA-484C-4AFC-BB5D-46D3BBCCB386}" name="Enchilada_Sauce" dataDxfId="2"/>
    <tableColumn id="8" xr3:uid="{886E0B51-7868-43C4-A80D-1E45F4E2BD4A}" name="new" dataDxfId="1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3E3B2B-8455-4AF6-BA25-12FFD045FECB}" name="Table2" displayName="Table2" ref="B18:I25" totalsRowShown="0" headerRowDxfId="9" dataDxfId="11" headerRowBorderDxfId="22" tableBorderDxfId="21" totalsRowBorderDxfId="20">
  <autoFilter ref="B18:I25" xr:uid="{F23E3B2B-8455-4AF6-BA25-12FFD045FECB}"/>
  <tableColumns count="8">
    <tableColumn id="1" xr3:uid="{8F5982C6-04E0-48D6-BC2C-871C9A6C1334}" name="Recipe" dataDxfId="19"/>
    <tableColumn id="2" xr3:uid="{1F8A4EA3-5CE4-4705-99FE-D9DCB1F299C5}" name="Spag_Sauce" dataDxfId="18"/>
    <tableColumn id="3" xr3:uid="{2316360D-436E-4D98-949E-A380A5DB4BEA}" name="Spag_Meat_Sauce" dataDxfId="17"/>
    <tableColumn id="4" xr3:uid="{428412FE-B6BE-4A83-A001-3143D89212AE}" name="Eggplant_Relish" dataDxfId="16"/>
    <tableColumn id="5" xr3:uid="{18B3A4CD-7A9A-460A-BC51-3EE70447C4F0}" name="Creole_Sauce" dataDxfId="15"/>
    <tableColumn id="6" xr3:uid="{8DCACBBA-285F-4EBA-9977-1EB54A349166}" name="Salsa" dataDxfId="14"/>
    <tableColumn id="7" xr3:uid="{754BAF3A-2CF9-41A1-998D-3C6331419345}" name="Enchilada_Sauce" dataDxfId="13"/>
    <tableColumn id="8" xr3:uid="{4E5A5894-0A48-4CF0-A4B6-82DCF56B12C2}" name="new" dataDxfId="1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7C01-9F42-49B2-847F-59543980CCE2}">
  <dimension ref="A1:AJ37"/>
  <sheetViews>
    <sheetView tabSelected="1" workbookViewId="0">
      <selection activeCell="H15" sqref="H15"/>
    </sheetView>
  </sheetViews>
  <sheetFormatPr baseColWidth="10" defaultColWidth="8.83203125" defaultRowHeight="27"/>
  <cols>
    <col min="1" max="1" width="8.83203125" style="1"/>
    <col min="2" max="2" width="20.33203125" style="1" customWidth="1"/>
    <col min="3" max="3" width="18.33203125" style="1" customWidth="1"/>
    <col min="4" max="6" width="22.83203125" style="1" customWidth="1"/>
    <col min="7" max="7" width="26.1640625" style="1" customWidth="1"/>
    <col min="8" max="8" width="25.1640625" style="1" customWidth="1"/>
    <col min="9" max="9" width="19.6640625" style="1" customWidth="1"/>
    <col min="10" max="11" width="8.83203125" style="1"/>
    <col min="12" max="12" width="17.33203125" style="1" customWidth="1"/>
    <col min="13" max="13" width="21.33203125" style="1" customWidth="1"/>
    <col min="14" max="14" width="16.1640625" style="1" customWidth="1"/>
    <col min="15" max="15" width="13.33203125" style="1" customWidth="1"/>
    <col min="16" max="16" width="15.1640625" style="1" customWidth="1"/>
    <col min="17" max="17" width="18.33203125" style="1" customWidth="1"/>
    <col min="18" max="18" width="16.83203125" style="1" customWidth="1"/>
    <col min="19" max="19" width="19.83203125" style="1" customWidth="1"/>
    <col min="20" max="20" width="13.83203125" style="1" customWidth="1"/>
    <col min="21" max="21" width="20.33203125" style="1" customWidth="1"/>
    <col min="22" max="22" width="16.5" style="1" customWidth="1"/>
    <col min="23" max="23" width="16" style="1" customWidth="1"/>
    <col min="24" max="24" width="17.5" style="1" customWidth="1"/>
    <col min="25" max="25" width="15.5" style="1" customWidth="1"/>
    <col min="26" max="26" width="13.6640625" style="1" customWidth="1"/>
    <col min="27" max="27" width="14" style="1" customWidth="1"/>
    <col min="28" max="28" width="16.83203125" style="1" customWidth="1"/>
    <col min="29" max="29" width="17.6640625" style="1" customWidth="1"/>
    <col min="30" max="30" width="18" style="1" customWidth="1"/>
    <col min="31" max="31" width="24.6640625" style="1" customWidth="1"/>
    <col min="32" max="32" width="16.5" style="1" customWidth="1"/>
    <col min="33" max="34" width="16" style="1" customWidth="1"/>
    <col min="35" max="35" width="12" style="1" customWidth="1"/>
    <col min="36" max="36" width="17" style="1" customWidth="1"/>
    <col min="37" max="16384" width="8.83203125" style="1"/>
  </cols>
  <sheetData>
    <row r="1" spans="2:36">
      <c r="H1" s="22" t="s">
        <v>45</v>
      </c>
      <c r="I1" s="23"/>
    </row>
    <row r="2" spans="2:36">
      <c r="H2" s="24" t="s">
        <v>46</v>
      </c>
      <c r="I2" s="25"/>
    </row>
    <row r="3" spans="2:36" ht="28" thickBot="1">
      <c r="H3" s="26" t="s">
        <v>47</v>
      </c>
      <c r="I3" s="27"/>
    </row>
    <row r="4" spans="2:36">
      <c r="B4" s="28" t="s">
        <v>0</v>
      </c>
      <c r="C4" s="28"/>
      <c r="D4" s="28"/>
      <c r="E4" s="28"/>
      <c r="F4" s="28"/>
      <c r="G4" s="28"/>
    </row>
    <row r="6" spans="2:36">
      <c r="B6" s="30" t="s">
        <v>1</v>
      </c>
      <c r="C6" s="30" t="s">
        <v>2</v>
      </c>
      <c r="D6" s="30" t="s">
        <v>3</v>
      </c>
      <c r="E6" s="30" t="s">
        <v>4</v>
      </c>
      <c r="F6" s="30" t="s">
        <v>5</v>
      </c>
      <c r="G6" s="30" t="s">
        <v>6</v>
      </c>
      <c r="H6" s="30" t="s">
        <v>7</v>
      </c>
      <c r="I6" s="30" t="s">
        <v>8</v>
      </c>
      <c r="J6" s="30" t="s">
        <v>9</v>
      </c>
      <c r="K6" s="30" t="s">
        <v>10</v>
      </c>
      <c r="L6" s="30" t="s">
        <v>11</v>
      </c>
      <c r="M6" s="30" t="s">
        <v>12</v>
      </c>
      <c r="N6" s="30" t="s">
        <v>13</v>
      </c>
      <c r="O6" s="30" t="s">
        <v>14</v>
      </c>
      <c r="P6" s="30" t="s">
        <v>15</v>
      </c>
      <c r="Q6" s="30" t="s">
        <v>16</v>
      </c>
      <c r="R6" s="30" t="s">
        <v>17</v>
      </c>
      <c r="S6" s="30" t="s">
        <v>18</v>
      </c>
      <c r="T6" s="30" t="s">
        <v>19</v>
      </c>
      <c r="U6" s="30" t="s">
        <v>20</v>
      </c>
      <c r="V6" s="30" t="s">
        <v>21</v>
      </c>
      <c r="W6" s="30" t="s">
        <v>22</v>
      </c>
      <c r="X6" s="30" t="s">
        <v>23</v>
      </c>
      <c r="Y6" s="30" t="s">
        <v>24</v>
      </c>
      <c r="Z6" s="30" t="s">
        <v>25</v>
      </c>
      <c r="AA6" s="30" t="s">
        <v>26</v>
      </c>
      <c r="AB6" s="30" t="s">
        <v>27</v>
      </c>
      <c r="AC6" s="30" t="s">
        <v>28</v>
      </c>
      <c r="AD6" s="30" t="s">
        <v>29</v>
      </c>
      <c r="AE6" s="30" t="s">
        <v>30</v>
      </c>
      <c r="AF6" s="30" t="s">
        <v>31</v>
      </c>
      <c r="AG6" s="30" t="s">
        <v>32</v>
      </c>
      <c r="AH6" s="30" t="s">
        <v>33</v>
      </c>
      <c r="AI6" s="30" t="s">
        <v>34</v>
      </c>
      <c r="AJ6" s="30" t="s">
        <v>35</v>
      </c>
    </row>
    <row r="7" spans="2:36">
      <c r="B7" s="30" t="s">
        <v>36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1</v>
      </c>
      <c r="W7" s="30">
        <v>0</v>
      </c>
      <c r="X7" s="30">
        <v>1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</row>
    <row r="8" spans="2:36">
      <c r="B8" s="30" t="s">
        <v>37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0</v>
      </c>
      <c r="K8" s="30">
        <v>1</v>
      </c>
      <c r="L8" s="30">
        <v>0</v>
      </c>
      <c r="M8" s="30">
        <v>0</v>
      </c>
      <c r="N8" s="30">
        <v>0</v>
      </c>
      <c r="O8" s="30">
        <v>1</v>
      </c>
      <c r="P8" s="30">
        <v>1</v>
      </c>
      <c r="Q8" s="30">
        <v>0</v>
      </c>
      <c r="R8" s="30">
        <v>0</v>
      </c>
      <c r="S8" s="30">
        <v>0</v>
      </c>
      <c r="T8" s="30">
        <v>1</v>
      </c>
      <c r="U8" s="30">
        <v>0</v>
      </c>
      <c r="V8" s="30">
        <v>0</v>
      </c>
      <c r="W8" s="30">
        <v>0</v>
      </c>
      <c r="X8" s="30">
        <v>0</v>
      </c>
      <c r="Y8" s="30">
        <v>1</v>
      </c>
      <c r="Z8" s="30">
        <v>1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</row>
    <row r="9" spans="2:36">
      <c r="B9" s="30" t="s">
        <v>38</v>
      </c>
      <c r="C9" s="30">
        <v>0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1</v>
      </c>
      <c r="AH9" s="30">
        <v>1</v>
      </c>
      <c r="AI9" s="30">
        <v>1</v>
      </c>
      <c r="AJ9" s="30">
        <v>1</v>
      </c>
    </row>
    <row r="10" spans="2:36">
      <c r="B10" s="30" t="s">
        <v>39</v>
      </c>
      <c r="C10" s="30">
        <v>1</v>
      </c>
      <c r="D10" s="30">
        <v>0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1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1</v>
      </c>
      <c r="AB10" s="30">
        <v>1</v>
      </c>
      <c r="AC10" s="30">
        <v>0</v>
      </c>
      <c r="AD10" s="30">
        <v>0</v>
      </c>
      <c r="AE10" s="30">
        <v>1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</row>
    <row r="11" spans="2:36">
      <c r="B11" s="30" t="s">
        <v>40</v>
      </c>
      <c r="C11" s="30">
        <v>1</v>
      </c>
      <c r="D11" s="30">
        <v>1</v>
      </c>
      <c r="E11" s="30">
        <v>1</v>
      </c>
      <c r="F11" s="30">
        <v>1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1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1</v>
      </c>
      <c r="AD11" s="30">
        <v>1</v>
      </c>
      <c r="AE11" s="30">
        <v>0</v>
      </c>
      <c r="AF11" s="30">
        <v>1</v>
      </c>
      <c r="AG11" s="30">
        <v>0</v>
      </c>
      <c r="AH11" s="30">
        <v>0</v>
      </c>
      <c r="AI11" s="30">
        <v>0</v>
      </c>
      <c r="AJ11" s="30">
        <v>0</v>
      </c>
    </row>
    <row r="12" spans="2:36">
      <c r="B12" s="30" t="s">
        <v>41</v>
      </c>
      <c r="C12" s="30">
        <v>1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1</v>
      </c>
      <c r="K12" s="30">
        <v>0</v>
      </c>
      <c r="L12" s="30">
        <v>1</v>
      </c>
      <c r="M12" s="30">
        <v>1</v>
      </c>
      <c r="N12" s="30">
        <v>1</v>
      </c>
      <c r="O12" s="30">
        <v>0</v>
      </c>
      <c r="P12" s="30">
        <v>0</v>
      </c>
      <c r="Q12" s="30">
        <v>0</v>
      </c>
      <c r="R12" s="30">
        <v>1</v>
      </c>
      <c r="S12" s="30">
        <v>0</v>
      </c>
      <c r="T12" s="30">
        <v>0</v>
      </c>
      <c r="U12" s="30">
        <v>1</v>
      </c>
      <c r="V12" s="30">
        <v>0</v>
      </c>
      <c r="W12" s="30">
        <v>1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</row>
    <row r="13" spans="2:36">
      <c r="B13" s="30" t="s">
        <v>42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1</v>
      </c>
      <c r="W13" s="30">
        <v>0</v>
      </c>
      <c r="X13" s="30">
        <v>1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</row>
    <row r="16" spans="2:36" ht="28">
      <c r="B16" s="29" t="s">
        <v>44</v>
      </c>
    </row>
    <row r="17" spans="1:9" s="12" customFormat="1">
      <c r="A17" s="1"/>
      <c r="B17" s="1"/>
      <c r="C17" s="1"/>
      <c r="D17" s="1"/>
      <c r="E17" s="1"/>
      <c r="F17" s="1"/>
      <c r="G17" s="1"/>
      <c r="H17" s="1"/>
      <c r="I17" s="1"/>
    </row>
    <row r="18" spans="1:9">
      <c r="B18" s="13" t="s">
        <v>1</v>
      </c>
      <c r="C18" s="14" t="s">
        <v>36</v>
      </c>
      <c r="D18" s="14" t="s">
        <v>37</v>
      </c>
      <c r="E18" s="14" t="s">
        <v>38</v>
      </c>
      <c r="F18" s="14" t="s">
        <v>39</v>
      </c>
      <c r="G18" s="14" t="s">
        <v>40</v>
      </c>
      <c r="H18" s="14" t="s">
        <v>41</v>
      </c>
      <c r="I18" s="15" t="s">
        <v>42</v>
      </c>
    </row>
    <row r="19" spans="1:9">
      <c r="B19" s="2" t="s">
        <v>36</v>
      </c>
      <c r="C19" s="3">
        <f>SUMPRODUCT(C7:AJ7,C7:AJ7)/(SQRT(SUMSQ(C7:AJ7))*SQRT(SUMSQ(C7:AJ7)))</f>
        <v>0.99999999999999978</v>
      </c>
      <c r="D19" s="3">
        <f>SUMPRODUCT(C7:AJ7,C8:AJ8)/(SQRT(SUMSQ(C7:AJ7))*SQRT(SUMSQ(C8:AJ8)))</f>
        <v>0.58834840541455202</v>
      </c>
      <c r="E19" s="3">
        <f>SUMPRODUCT(C7:AJ7,C9:AJ9)/(SQRT(SUMSQ(C7:AJ7))*SQRT(SUMSQ(C9:AJ9)))</f>
        <v>0.58925565098878951</v>
      </c>
      <c r="F19" s="3">
        <f>SUMPRODUCT(C7:AJ7,C10:AJ10)/(SQRT(SUMSQ(C7:AJ7))*SQRT(SUMSQ(C10:AJ10)))</f>
        <v>0.51031036307982869</v>
      </c>
      <c r="G19" s="3">
        <f>SUMPRODUCT(C7:AJ7,C11:AJ11)/(SQRT(SUMSQ(C7:AJ7))*SQRT(SUMSQ(C11:AJ11)))</f>
        <v>0.49999999999999989</v>
      </c>
      <c r="H19" s="3">
        <f>SUMPRODUCT(C7:AJ7,C12:AJ12)/(SQRT(SUMSQ(C7:AJ7))*SQRT(SUMSQ(C12:AJ12)))</f>
        <v>0.12499999999999997</v>
      </c>
      <c r="I19" s="4">
        <f>SUMPRODUCT(C7:AJ7,C13:AJ13)/(SQRT(SUMSQ(C7:AJ7))*SQRT(SUMSQ(C13:AJ13)))</f>
        <v>0.93541434669348522</v>
      </c>
    </row>
    <row r="20" spans="1:9">
      <c r="B20" s="2" t="s">
        <v>37</v>
      </c>
      <c r="C20" s="3">
        <f>SUMPRODUCT(C8:AJ8,C7:AJ7)/(SQRT(SUMSQ(C8:AJ8))*SQRT(SUMSQ(C7:AJ7)))</f>
        <v>0.58834840541455202</v>
      </c>
      <c r="D20" s="3">
        <f>SUMPRODUCT(C8:AJ8,C8:AJ8)/(SQRT(SUMSQ(C8:AJ8))*SQRT(SUMSQ(C8:AJ8)))</f>
        <v>1.0000000000000002</v>
      </c>
      <c r="E20" s="3">
        <f>SUMPRODUCT(C8:AJ8,C9:AJ9)/(SQRT(SUMSQ(C8:AJ8))*SQRT(SUMSQ(C9:AJ9)))</f>
        <v>0.46225016352102433</v>
      </c>
      <c r="F20" s="3">
        <f>SUMPRODUCT(C8:AJ8,C10:AJ10)/(SQRT(SUMSQ(C8:AJ8))*SQRT(SUMSQ(C10:AJ10)))</f>
        <v>0.56044853831780506</v>
      </c>
      <c r="G20" s="3">
        <f>SUMPRODUCT(C8:AJ8,C11:AJ11)/(SQRT(SUMSQ(C8:AJ8))*SQRT(SUMSQ(C11:AJ11)))</f>
        <v>0.39223227027636803</v>
      </c>
      <c r="H20" s="3">
        <f>SUMPRODUCT(C8:AJ8,C12:AJ12)/(SQRT(SUMSQ(C8:AJ8))*SQRT(SUMSQ(C12:AJ12)))</f>
        <v>9.8058067569092008E-2</v>
      </c>
      <c r="I20" s="4">
        <f>SUMPRODUCT(C8:AJ8,C13:AJ13)/(SQRT(SUMSQ(C8:AJ8))*SQRT(SUMSQ(C13:AJ13)))</f>
        <v>0.52414241836095921</v>
      </c>
    </row>
    <row r="21" spans="1:9">
      <c r="B21" s="2" t="s">
        <v>38</v>
      </c>
      <c r="C21" s="3">
        <f>SUMPRODUCT(C9:AJ9,C7:AJ7)/(SQRT(SUMSQ(C9:AJ9))*SQRT(SUMSQ(C7:AJ7)))</f>
        <v>0.58925565098878951</v>
      </c>
      <c r="D21" s="3">
        <f>SUMPRODUCT(C9:AJ9,C8:AJ8)/(SQRT(SUMSQ(C9:AJ9))*SQRT(SUMSQ(C8:AJ8)))</f>
        <v>0.46225016352102433</v>
      </c>
      <c r="E21" s="3">
        <f>SUMPRODUCT(C9:AJ9,C9:AJ9)/(SQRT(SUMSQ(C9:AJ9))*SQRT(SUMSQ(C9:AJ9)))</f>
        <v>1</v>
      </c>
      <c r="F21" s="3">
        <f>SUMPRODUCT(C9:AJ9,C10:AJ10)/(SQRT(SUMSQ(C9:AJ9))*SQRT(SUMSQ(C10:AJ10)))</f>
        <v>0.38490017945975052</v>
      </c>
      <c r="G21" s="3">
        <f>SUMPRODUCT(C9:AJ9,C11:AJ11)/(SQRT(SUMSQ(C9:AJ9))*SQRT(SUMSQ(C11:AJ11)))</f>
        <v>0.35355339059327373</v>
      </c>
      <c r="H21" s="3">
        <f>SUMPRODUCT(C9:AJ9,C12:AJ12)/(SQRT(SUMSQ(C9:AJ9))*SQRT(SUMSQ(C12:AJ12)))</f>
        <v>0</v>
      </c>
      <c r="I21" s="4">
        <f>SUMPRODUCT(C9:AJ9,C13:AJ13)/(SQRT(SUMSQ(C9:AJ9))*SQRT(SUMSQ(C13:AJ13)))</f>
        <v>0.50395263067896956</v>
      </c>
    </row>
    <row r="22" spans="1:9">
      <c r="B22" s="2" t="s">
        <v>39</v>
      </c>
      <c r="C22" s="3">
        <f>SUMPRODUCT(C10:AJ10,C7:AJ7)/(SQRT(SUMSQ(C10:AJ10))*SQRT(SUMSQ(C7:AJ7)))</f>
        <v>0.51031036307982869</v>
      </c>
      <c r="D22" s="3">
        <f>SUMPRODUCT(C10:AJ10,C8:AJ8)/(SQRT(SUMSQ(C10:AJ10))*SQRT(SUMSQ(C8:AJ8)))</f>
        <v>0.56044853831780506</v>
      </c>
      <c r="E22" s="3">
        <f>SUMPRODUCT(C10:AJ10,C9:AJ9)/(SQRT(SUMSQ(C10:AJ10))*SQRT(SUMSQ(C9:AJ9)))</f>
        <v>0.38490017945975052</v>
      </c>
      <c r="F22" s="3">
        <f>SUMPRODUCT(C10:AJ10,C10:AJ10)/(SQRT(SUMSQ(C10:AJ10))*SQRT(SUMSQ(C10:AJ10)))</f>
        <v>1.0000000000000002</v>
      </c>
      <c r="G22" s="3">
        <f>SUMPRODUCT(C10:AJ10,C11:AJ11)/(SQRT(SUMSQ(C10:AJ10))*SQRT(SUMSQ(C11:AJ11)))</f>
        <v>0.30618621784789724</v>
      </c>
      <c r="H22" s="3">
        <f>SUMPRODUCT(C10:AJ10,C12:AJ12)/(SQRT(SUMSQ(C10:AJ10))*SQRT(SUMSQ(C12:AJ12)))</f>
        <v>0.20412414523193148</v>
      </c>
      <c r="I22" s="4">
        <f>SUMPRODUCT(C10:AJ10,C13:AJ13)/(SQRT(SUMSQ(C10:AJ10))*SQRT(SUMSQ(C13:AJ13)))</f>
        <v>0.43643578047198478</v>
      </c>
    </row>
    <row r="23" spans="1:9">
      <c r="B23" s="2" t="s">
        <v>40</v>
      </c>
      <c r="C23" s="3">
        <f>SUMPRODUCT(C11:AJ11,C7:AJ7)/(SQRT(SUMSQ(C11:AJ11))*SQRT(SUMSQ(C7:AJ7)))</f>
        <v>0.49999999999999989</v>
      </c>
      <c r="D23" s="3">
        <f>SUMPRODUCT(C11:AJ11,C8:AJ8)/(SQRT(SUMSQ(C11:AJ11))*SQRT(SUMSQ(C8:AJ8)))</f>
        <v>0.39223227027636803</v>
      </c>
      <c r="E23" s="3">
        <f>SUMPRODUCT(C11:AJ11,C9:AJ9)/(SQRT(SUMSQ(C11:AJ11))*SQRT(SUMSQ(C9:AJ9)))</f>
        <v>0.35355339059327373</v>
      </c>
      <c r="F23" s="3">
        <f>SUMPRODUCT(C11:AJ11,C10:AJ10)/(SQRT(SUMSQ(C11:AJ11))*SQRT(SUMSQ(C10:AJ10)))</f>
        <v>0.30618621784789724</v>
      </c>
      <c r="G23" s="3">
        <f>SUMPRODUCT(C11:AJ11,C11:AJ11)/(SQRT(SUMSQ(C11:AJ11))*SQRT(SUMSQ(C11:AJ11)))</f>
        <v>0.99999999999999978</v>
      </c>
      <c r="H23" s="3">
        <f>SUMPRODUCT(C11:AJ11,C12:AJ12)/(SQRT(SUMSQ(C11:AJ11))*SQRT(SUMSQ(C12:AJ12)))</f>
        <v>0.12499999999999997</v>
      </c>
      <c r="I23" s="4">
        <f>SUMPRODUCT(C11:AJ11,C13:AJ13)/(SQRT(SUMSQ(C11:AJ11))*SQRT(SUMSQ(C13:AJ13)))</f>
        <v>0.53452248382484868</v>
      </c>
    </row>
    <row r="24" spans="1:9">
      <c r="B24" s="2" t="s">
        <v>41</v>
      </c>
      <c r="C24" s="3">
        <f>SUMPRODUCT(C12:AJ12,C7:AJ7)/(SQRT(SUMSQ(C12:AJ12))*SQRT(SUMSQ(C7:AJ7)))</f>
        <v>0.12499999999999997</v>
      </c>
      <c r="D24" s="3">
        <f>SUMPRODUCT(C12:AJ12,C8:AJ8)/(SQRT(SUMSQ(C12:AJ12))*SQRT(SUMSQ(C8:AJ8)))</f>
        <v>9.8058067569092008E-2</v>
      </c>
      <c r="E24" s="3">
        <f>SUMPRODUCT(C12:AJ12,C9:AJ9)/(SQRT(SUMSQ(C12:AJ12))*SQRT(SUMSQ(C9:AJ9)))</f>
        <v>0</v>
      </c>
      <c r="F24" s="3">
        <f>SUMPRODUCT(C12:AJ12,C10:AJ10)/(SQRT(SUMSQ(C12:AJ12))*SQRT(SUMSQ(C10:AJ10)))</f>
        <v>0.20412414523193148</v>
      </c>
      <c r="G24" s="3">
        <f>SUMPRODUCT(C12:AJ12,C11:AJ11)/(SQRT(SUMSQ(C12:AJ12))*SQRT(SUMSQ(C11:AJ11)))</f>
        <v>0.12499999999999997</v>
      </c>
      <c r="H24" s="3">
        <f>SUMPRODUCT(C12:AJ12,C12:AJ12)/(SQRT(SUMSQ(C12:AJ12))*SQRT(SUMSQ(C12:AJ12)))</f>
        <v>0.99999999999999978</v>
      </c>
      <c r="I24" s="4">
        <f>SUMPRODUCT(C12:AJ12,C13:AJ13)/(SQRT(SUMSQ(C12:AJ12))*SQRT(SUMSQ(C13:AJ13)))</f>
        <v>0.13363062095621217</v>
      </c>
    </row>
    <row r="25" spans="1:9">
      <c r="B25" s="5" t="s">
        <v>42</v>
      </c>
      <c r="C25" s="6">
        <f>SUMPRODUCT(C13:AJ13,C7:AJ7)/(SQRT(SUMSQ(C13:AJ13))*SQRT(SUMSQ(C7:AJ7)))</f>
        <v>0.93541434669348522</v>
      </c>
      <c r="D25" s="6">
        <f>SUMPRODUCT(C13:AJ13,C8:AJ8)/(SQRT(SUMSQ(C13:AJ13))*SQRT(SUMSQ(C8:AJ8)))</f>
        <v>0.52414241836095921</v>
      </c>
      <c r="E25" s="6">
        <f>SUMPRODUCT(C13:AJ13,C9:AJ9)/(SQRT(SUMSQ(C13:AJ13))*SQRT(SUMSQ(C9:AJ9)))</f>
        <v>0.50395263067896956</v>
      </c>
      <c r="F25" s="6">
        <f>SUMPRODUCT(C13:AJ13,C10:AJ10)/(SQRT(SUMSQ(C13:AJ13))*SQRT(SUMSQ(C10:AJ10)))</f>
        <v>0.43643578047198478</v>
      </c>
      <c r="G25" s="6">
        <f>SUMPRODUCT(C13:AJ13,C11:AJ11)/(SQRT(SUMSQ(C13:AJ13))*SQRT(SUMSQ(C11:AJ11)))</f>
        <v>0.53452248382484868</v>
      </c>
      <c r="H25" s="6">
        <f>SUMPRODUCT(C13:AJ13,C12:AJ12)/(SQRT(SUMSQ(C13:AJ13))*SQRT(SUMSQ(C12:AJ12)))</f>
        <v>0.13363062095621217</v>
      </c>
      <c r="I25" s="7">
        <f>SUMPRODUCT(C13:AJ13,C13:AJ13)/(SQRT(SUMSQ(C13:AJ13))*SQRT(SUMSQ(C13:AJ13)))</f>
        <v>0.99999999999999989</v>
      </c>
    </row>
    <row r="28" spans="1:9" ht="28">
      <c r="B28" s="29" t="s">
        <v>43</v>
      </c>
    </row>
    <row r="30" spans="1:9">
      <c r="B30" s="9" t="s">
        <v>1</v>
      </c>
      <c r="C30" s="10" t="s">
        <v>36</v>
      </c>
      <c r="D30" s="10" t="s">
        <v>37</v>
      </c>
      <c r="E30" s="10" t="s">
        <v>38</v>
      </c>
      <c r="F30" s="10" t="s">
        <v>39</v>
      </c>
      <c r="G30" s="10" t="s">
        <v>40</v>
      </c>
      <c r="H30" s="10" t="s">
        <v>41</v>
      </c>
      <c r="I30" s="11" t="s">
        <v>42</v>
      </c>
    </row>
    <row r="31" spans="1:9">
      <c r="B31" s="16" t="s">
        <v>36</v>
      </c>
      <c r="C31" s="17" cm="1">
        <f t="array" ref="C31">SUMPRODUCT((C7:AJ7=1)*(C7:AJ7=1))/SUMPRODUCT((C7:AJ7=1)+(C7:AJ7=1)-(C7:AJ7=1)*(C7:AJ7=1))</f>
        <v>1</v>
      </c>
      <c r="D31" s="17" cm="1">
        <f t="array" ref="D31">SUMPRODUCT((C7:AJ7=1)*(C8:AJ8=1))/SUMPRODUCT((C7:AJ7=1)+(C8:AJ8=1)-(C7:AJ7=1)*(C8:AJ8=1))</f>
        <v>0.4</v>
      </c>
      <c r="E31" s="17" cm="1">
        <f t="array" ref="E31">SUMPRODUCT((C7:AJ7=1)*(C9:AJ9=1))/SUMPRODUCT((C7:AJ7=1)+(C9:AJ9=1)-(C7:AJ7=1)*(C9:AJ9=1))</f>
        <v>0.41666666666666669</v>
      </c>
      <c r="F31" s="17" cm="1">
        <f t="array" ref="F31">SUMPRODUCT((C7:AJ7=1)*(C10:AJ10=1))/SUMPRODUCT((C7:AJ7=1)+(C10:AJ10=1)-(C7:AJ7=1)*(C10:AJ10=1))</f>
        <v>0.33333333333333331</v>
      </c>
      <c r="G31" s="17" cm="1">
        <f t="array" ref="G31">SUMPRODUCT((C7:AJ7=1)*(C11:AJ11=1))/SUMPRODUCT((C7:AJ7=1)+(C11:AJ11=1)-(C7:AJ7=1)*(C11:AJ11=1))</f>
        <v>0.33333333333333331</v>
      </c>
      <c r="H31" s="17" cm="1">
        <f t="array" ref="H31">SUMPRODUCT((C7:AJ7=1)*(C12:AJ12=1))/SUMPRODUCT((C7:AJ7=1)+(C12:AJ12=1)-(C7:AJ7=1)*(C12:AJ12=1))</f>
        <v>6.6666666666666666E-2</v>
      </c>
      <c r="I31" s="18" cm="1">
        <f t="array" ref="I31">SUMPRODUCT((C7:AJ7=1)*(C13:AJ13=1))/SUMPRODUCT((C7:AJ7=1)+(C13:AJ13=1)-(C7:AJ7=1)*(C13:AJ13=1))</f>
        <v>0.875</v>
      </c>
    </row>
    <row r="32" spans="1:9">
      <c r="B32" s="16" t="s">
        <v>37</v>
      </c>
      <c r="C32" s="17" cm="1">
        <f t="array" ref="C32">SUMPRODUCT((C8:AJ8=1)*(C7:AJ7=1))/SUMPRODUCT((C8:AJ8=1)+(C7:AJ7=1)-(C8:AJ8=1)*(C7:AJ7=1))</f>
        <v>0.4</v>
      </c>
      <c r="D32" s="17" cm="1">
        <f t="array" ref="D32">SUMPRODUCT((C8:AJ8=1)*(C8:AJ8=1))/SUMPRODUCT((C8:AJ8=1)+(C8:AJ8=1)-(C8:AJ8=1)*(C8:AJ8=1))</f>
        <v>1</v>
      </c>
      <c r="E32" s="17" cm="1">
        <f t="array" ref="E32">SUMPRODUCT((C8:AJ8=1)*(C9:AJ9=1))/SUMPRODUCT((C8:AJ8=1)+(C9:AJ9=1)-(C8:AJ8=1)*(C9:AJ9=1))</f>
        <v>0.29411764705882354</v>
      </c>
      <c r="F32" s="17" cm="1">
        <f t="array" ref="F32">SUMPRODUCT((C8:AJ8=1)*(C10:AJ10=1))/SUMPRODUCT((C8:AJ8=1)+(C10:AJ10=1)-(C8:AJ8=1)*(C10:AJ10=1))</f>
        <v>0.3888888888888889</v>
      </c>
      <c r="G32" s="17" cm="1">
        <f t="array" ref="G32">SUMPRODUCT((C8:AJ8=1)*(C11:AJ11=1))/SUMPRODUCT((C8:AJ8=1)+(C11:AJ11=1)-(C8:AJ8=1)*(C11:AJ11=1))</f>
        <v>0.23529411764705882</v>
      </c>
      <c r="H32" s="17" cm="1">
        <f t="array" ref="H32">SUMPRODUCT((C8:AJ8=1)*(C12:AJ12=1))/SUMPRODUCT((C8:AJ8=1)+(C12:AJ12=1)-(C8:AJ8=1)*(C12:AJ12=1))</f>
        <v>0.05</v>
      </c>
      <c r="I32" s="18" cm="1">
        <f t="array" ref="I32">SUMPRODUCT((C8:AJ8=1)*(C13:AJ13=1))/SUMPRODUCT((C8:AJ8=1)+(C13:AJ13=1)-(C8:AJ8=1)*(C13:AJ13=1))</f>
        <v>0.33333333333333331</v>
      </c>
    </row>
    <row r="33" spans="2:9">
      <c r="B33" s="16" t="s">
        <v>38</v>
      </c>
      <c r="C33" s="17" cm="1">
        <f t="array" ref="C33">SUMPRODUCT((C9:AJ9=1)*(C7:AJ7=1))/SUMPRODUCT((C9:AJ9=1)+(C7:AJ7=1)-(C9:AJ9=1)*(C7:AJ7=1))</f>
        <v>0.41666666666666669</v>
      </c>
      <c r="D33" s="17" cm="1">
        <f t="array" ref="D33">SUMPRODUCT((C9:AJ9=1)*(C8:AJ8=1))/SUMPRODUCT((C9:AJ9=1)+(C8:AJ8=1)-(C9:AJ9=1)*(C8:AJ8=1))</f>
        <v>0.29411764705882354</v>
      </c>
      <c r="E33" s="17" cm="1">
        <f t="array" ref="E33">SUMPRODUCT((C9:AJ9=1)*(C9:AJ9=1))/SUMPRODUCT((C9:AJ9=1)+(C9:AJ9=1)-(C9:AJ9=1)*(C9:AJ9=1))</f>
        <v>1</v>
      </c>
      <c r="F33" s="17" cm="1">
        <f t="array" ref="F33">SUMPRODUCT((C9:AJ9=1)*(C10:AJ10=1))/SUMPRODUCT((C9:AJ9=1)+(C10:AJ10=1)-(C9:AJ9=1)*(C10:AJ10=1))</f>
        <v>0.23529411764705882</v>
      </c>
      <c r="G33" s="17" cm="1">
        <f t="array" ref="G33">SUMPRODUCT((C9:AJ9=1)*(C11:AJ11=1))/SUMPRODUCT((C9:AJ9=1)+(C11:AJ11=1)-(C9:AJ9=1)*(C11:AJ11=1))</f>
        <v>0.21428571428571427</v>
      </c>
      <c r="H33" s="17" cm="1">
        <f t="array" ref="H33">SUMPRODUCT((C9:AJ9=1)*(C12:AJ12=1))/SUMPRODUCT((C9:AJ9=1)+(C12:AJ12=1)-(C9:AJ9=1)*(C12:AJ12=1))</f>
        <v>0</v>
      </c>
      <c r="I33" s="18" cm="1">
        <f t="array" ref="I33">SUMPRODUCT((C9:AJ9=1)*(C13:AJ13=1))/SUMPRODUCT((C9:AJ9=1)+(C13:AJ13=1)-(C9:AJ9=1)*(C13:AJ13=1))</f>
        <v>0.33333333333333331</v>
      </c>
    </row>
    <row r="34" spans="2:9">
      <c r="B34" s="16" t="s">
        <v>39</v>
      </c>
      <c r="C34" s="17" cm="1">
        <f t="array" ref="C34">SUMPRODUCT((C10:AJ10=1)*(C7:AJ7=1))/SUMPRODUCT((C10:AJ10=1)+(C7:AJ7=1)-(C10:AJ10=1)*(C7:AJ7=1))</f>
        <v>0.33333333333333331</v>
      </c>
      <c r="D34" s="17" cm="1">
        <f t="array" ref="D34">SUMPRODUCT((C10:AJ10=1)*(C8:AJ8=1))/SUMPRODUCT((C10:AJ10=1)+(C8:AJ8=1)-(C10:AJ10=1)*(C8:AJ8=1))</f>
        <v>0.3888888888888889</v>
      </c>
      <c r="E34" s="17" cm="1">
        <f t="array" ref="E34">SUMPRODUCT((C10:AJ10=1)*(C9:AJ9=1))/SUMPRODUCT((C10:AJ10=1)+(C9:AJ9=1)-(C10:AJ10=1)*(C9:AJ9=1))</f>
        <v>0.23529411764705882</v>
      </c>
      <c r="F34" s="17" cm="1">
        <f t="array" ref="F34">SUMPRODUCT((C10:AJ10=1)*(C10:AJ10=1))/SUMPRODUCT((C10:AJ10=1)+(C10:AJ10=1)-(C10:AJ10=1)*(C10:AJ10=1))</f>
        <v>1</v>
      </c>
      <c r="G34" s="17" cm="1">
        <f t="array" ref="G34">SUMPRODUCT((C10:AJ10=1)*(C11:AJ11=1))/SUMPRODUCT((C10:AJ10=1)+(C11:AJ11=1)-(C10:AJ10=1)*(C11:AJ11=1))</f>
        <v>0.17647058823529413</v>
      </c>
      <c r="H34" s="19" cm="1">
        <f t="array" ref="H34">SUMPRODUCT((C10:AJ10=1)*(C12:AJ12=1))/SUMPRODUCT((C10:AJ10=1)+(C12:AJ12=1)-(C10:AJ10=1)*(C12:AJ12=1))</f>
        <v>0.1111111111111111</v>
      </c>
      <c r="I34" s="18" cm="1">
        <f t="array" ref="I34">SUMPRODUCT((C10:AJ10=1)*(C13:AJ13=1))/SUMPRODUCT((C10:AJ10=1)+(C13:AJ13=1)-(C10:AJ10=1)*(C13:AJ13=1))</f>
        <v>0.26666666666666666</v>
      </c>
    </row>
    <row r="35" spans="2:9">
      <c r="B35" s="16" t="s">
        <v>40</v>
      </c>
      <c r="C35" s="17" cm="1">
        <f t="array" ref="C35">SUMPRODUCT((C11:AJ11=1)*(C7:AJ7=1))/SUMPRODUCT((C11:AJ11=1)+(C7:AJ7=1)-(C11:AJ11=1)*(C7:AJ7=1))</f>
        <v>0.33333333333333331</v>
      </c>
      <c r="D35" s="17" cm="1">
        <f t="array" ref="D35">SUMPRODUCT((C11:AJ11=1)*(C8:AJ8=1))/SUMPRODUCT((C11:AJ11=1)+(C8:AJ8=1)-(C11:AJ11=1)*(C8:AJ8=1))</f>
        <v>0.23529411764705882</v>
      </c>
      <c r="E35" s="17" cm="1">
        <f t="array" ref="E35">SUMPRODUCT((C11:AJ11=1)*(C9:AJ9=1))/SUMPRODUCT((C11:AJ11=1)+(C9:AJ9=1)-(C11:AJ11=1)*(C9:AJ9=1))</f>
        <v>0.21428571428571427</v>
      </c>
      <c r="F35" s="17" cm="1">
        <f t="array" ref="F35">SUMPRODUCT((C11:AJ11=1)*(C10:AJ10=1))/SUMPRODUCT((C11:AJ11=1)+(C10:AJ10=1)-(C11:AJ11=1)*(C10:AJ10=1))</f>
        <v>0.17647058823529413</v>
      </c>
      <c r="G35" s="17" cm="1">
        <f t="array" ref="G35">SUMPRODUCT((C11:AJ11=1)*(C11:AJ11=1))/SUMPRODUCT((C11:AJ11=1)+(C11:AJ11=1)-(C11:AJ11=1)*(C11:AJ11=1))</f>
        <v>1</v>
      </c>
      <c r="H35" s="17" cm="1">
        <f t="array" ref="H35">SUMPRODUCT((C11:AJ11=1)*(C12:AJ12=1))/SUMPRODUCT((C11:AJ11=1)+(C12:AJ12=1)-(C11:AJ11=1)*(C12:AJ12=1))</f>
        <v>6.6666666666666666E-2</v>
      </c>
      <c r="I35" s="18" cm="1">
        <f t="array" ref="I35">SUMPRODUCT((C11:AJ11=1)*(C13:AJ13=1))/SUMPRODUCT((C11:AJ11=1)+(C13:AJ13=1)-(C11:AJ11=1)*(C13:AJ13=1))</f>
        <v>0.36363636363636365</v>
      </c>
    </row>
    <row r="36" spans="2:9">
      <c r="B36" s="16" t="s">
        <v>41</v>
      </c>
      <c r="C36" s="17" cm="1">
        <f t="array" ref="C36">SUMPRODUCT((C12:AJ12=1)*(C7:AJ7=1))/SUMPRODUCT((C12:AJ12=1)+(C7:AJ7=1)-(C12:AJ12=1)*(C7:AJ7=1))</f>
        <v>6.6666666666666666E-2</v>
      </c>
      <c r="D36" s="17" cm="1">
        <f t="array" ref="D36">SUMPRODUCT((C12:AJ12=1)*(C8:AJ8=1))/SUMPRODUCT((C12:AJ12=1)+(C8:AJ8=1)-(C12:AJ12=1)*(C8:AJ8=1))</f>
        <v>0.05</v>
      </c>
      <c r="E36" s="17" cm="1">
        <f t="array" ref="E36">SUMPRODUCT((C12:AJ12=1)*(C9:AJ9=1))/SUMPRODUCT((C12:AJ12=1)+(C9:AJ9=1)-(C12:AJ12=1)*(C9:AJ9=1))</f>
        <v>0</v>
      </c>
      <c r="F36" s="17" cm="1">
        <f t="array" ref="F36">SUMPRODUCT((C12:AJ12=1)*(C10:AJ10=1))/SUMPRODUCT((C12:AJ12=1)+(C10:AJ10=1)-(C12:AJ12=1)*(C10:AJ10=1))</f>
        <v>0.1111111111111111</v>
      </c>
      <c r="G36" s="17" cm="1">
        <f t="array" ref="G36">SUMPRODUCT((C12:AJ12=1)*(C11:AJ11=1))/SUMPRODUCT((C12:AJ12=1)+(C11:AJ11=1)-(C12:AJ12=1)*(C11:AJ11=1))</f>
        <v>6.6666666666666666E-2</v>
      </c>
      <c r="H36" s="17" cm="1">
        <f t="array" ref="H36">SUMPRODUCT((C12:AJ12=1)*(C12:AJ12=1))/SUMPRODUCT((C12:AJ12=1)+(C12:AJ12=1)-(C12:AJ12=1)*(C12:AJ12=1))</f>
        <v>1</v>
      </c>
      <c r="I36" s="18" cm="1">
        <f t="array" ref="I36">SUMPRODUCT((C12:AJ12=1)*(C13:AJ13=1))/SUMPRODUCT((C12:AJ12=1)+(C13:AJ13=1)-(C12:AJ12=1)*(C13:AJ13=1))</f>
        <v>7.1428571428571425E-2</v>
      </c>
    </row>
    <row r="37" spans="2:9">
      <c r="B37" s="20" t="s">
        <v>42</v>
      </c>
      <c r="C37" s="21" cm="1">
        <f t="array" ref="C37">SUMPRODUCT((C13:AJ13=1)*(C7:AJ7=1))/SUMPRODUCT((C13:AJ13=1)+(C7:AJ7=1)-(C13:AJ13=1)*(C7:AJ7=1))</f>
        <v>0.875</v>
      </c>
      <c r="D37" s="21" cm="1">
        <f t="array" ref="D37">SUMPRODUCT((C13:AJ13=1)*(C8:AJ8=1))/SUMPRODUCT((C13:AJ13=1)+(C8:AJ8=1)-(C13:AJ13=1)*(C8:AJ8=1))</f>
        <v>0.33333333333333331</v>
      </c>
      <c r="E37" s="21" cm="1">
        <f t="array" ref="E37">SUMPRODUCT((C13:AJ13=1)*(C9:AJ9=1))/SUMPRODUCT((C13:AJ13=1)+(C9:AJ9=1)-(C13:AJ13=1)*(C9:AJ9=1))</f>
        <v>0.33333333333333331</v>
      </c>
      <c r="F37" s="21" cm="1">
        <f t="array" ref="F37">SUMPRODUCT((C13:AJ13=1)*(C10:AJ10=1))/SUMPRODUCT((C13:AJ13=1)+(C10:AJ10=1)-(C13:AJ13=1)*(C10:AJ10=1))</f>
        <v>0.26666666666666666</v>
      </c>
      <c r="G37" s="21" cm="1">
        <f t="array" ref="G37">SUMPRODUCT((C13:AJ13=1)*(C11:AJ11=1))/SUMPRODUCT((C13:AJ13=1)+(C11:AJ11=1)-(C13:AJ13=1)*(C11:AJ11=1))</f>
        <v>0.36363636363636365</v>
      </c>
      <c r="H37" s="8" cm="1">
        <f t="array" ref="H37">SUMPRODUCT((C13:AJ13=1)*(C12:AJ12=1))/SUMPRODUCT((C13:AJ13=1)+(C12:AJ12=1)-(C13:AJ13=1)*(C12:AJ12=1))</f>
        <v>7.1428571428571425E-2</v>
      </c>
      <c r="I37" s="8" cm="1">
        <f t="array" ref="I37">SUMPRODUCT((C13:AJ13=1)*(C13:AJ13=1))/SUMPRODUCT((C13:AJ13=1)+(C13:AJ13=1)-(C13:AJ13=1)*(C13:AJ13=1))</f>
        <v>1</v>
      </c>
    </row>
  </sheetData>
  <mergeCells count="4">
    <mergeCell ref="H1:I1"/>
    <mergeCell ref="H2:I2"/>
    <mergeCell ref="H3:I3"/>
    <mergeCell ref="B4:G4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Dhanisha Raut</dc:creator>
  <cp:lastModifiedBy>Priti Vilas Nagdive</cp:lastModifiedBy>
  <dcterms:created xsi:type="dcterms:W3CDTF">2025-04-29T22:34:50Z</dcterms:created>
  <dcterms:modified xsi:type="dcterms:W3CDTF">2025-05-01T02:14:33Z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2025-04-29T23:16:14Z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3083ac1c-174f-4f41-98c1-12d4b7fc123a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10, 3, 0, 1</vt:lpwstr>
  </property>
</Properties>
</file>