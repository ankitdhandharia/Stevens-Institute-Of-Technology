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itdhandharia/Documents/"/>
    </mc:Choice>
  </mc:AlternateContent>
  <xr:revisionPtr revIDLastSave="0" documentId="8_{0FD95CDC-E8CB-7E4D-B9C4-BECC632AEBB2}" xr6:coauthVersionLast="47" xr6:coauthVersionMax="47" xr10:uidLastSave="{00000000-0000-0000-0000-000000000000}"/>
  <bookViews>
    <workbookView xWindow="0" yWindow="0" windowWidth="28800" windowHeight="18000" xr2:uid="{E5C6F3A8-5E97-0A46-A5E3-361D2F4677A3}"/>
  </bookViews>
  <sheets>
    <sheet name="Analysis" sheetId="1" r:id="rId1"/>
    <sheet name="Information Gain" sheetId="2" r:id="rId2"/>
    <sheet name="Final Comparis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D20" i="2"/>
  <c r="B20" i="2"/>
  <c r="C20" i="2" s="1"/>
  <c r="E20" i="2" s="1"/>
  <c r="D19" i="2"/>
  <c r="B19" i="2"/>
  <c r="D18" i="2"/>
  <c r="B18" i="2"/>
  <c r="B13" i="2"/>
  <c r="D12" i="2"/>
  <c r="B12" i="2"/>
  <c r="C12" i="2" s="1"/>
  <c r="E12" i="2" s="1"/>
  <c r="D11" i="2"/>
  <c r="B11" i="2"/>
  <c r="C11" i="2" s="1"/>
  <c r="E11" i="2" s="1"/>
  <c r="E13" i="2" s="1"/>
  <c r="B6" i="2"/>
  <c r="D5" i="2"/>
  <c r="B5" i="2"/>
  <c r="C5" i="2" s="1"/>
  <c r="E5" i="2" s="1"/>
  <c r="D4" i="2"/>
  <c r="B4" i="2"/>
  <c r="C4" i="2" s="1"/>
  <c r="E4" i="2" s="1"/>
  <c r="D3" i="2"/>
  <c r="B3" i="2"/>
  <c r="C3" i="2" s="1"/>
  <c r="E3" i="2" s="1"/>
  <c r="D2" i="2"/>
  <c r="B2" i="2"/>
  <c r="C2" i="2" s="1"/>
  <c r="E25" i="1"/>
  <c r="D25" i="1"/>
  <c r="C25" i="1"/>
  <c r="B25" i="1"/>
  <c r="F24" i="1"/>
  <c r="G23" i="1"/>
  <c r="F23" i="1"/>
  <c r="F22" i="1"/>
  <c r="E19" i="1"/>
  <c r="D19" i="1"/>
  <c r="C19" i="1"/>
  <c r="B19" i="1"/>
  <c r="F18" i="1"/>
  <c r="G18" i="1" s="1"/>
  <c r="F17" i="1"/>
  <c r="E14" i="1"/>
  <c r="D14" i="1"/>
  <c r="C14" i="1"/>
  <c r="B14" i="1"/>
  <c r="F13" i="1"/>
  <c r="F12" i="1"/>
  <c r="F11" i="1"/>
  <c r="G11" i="1" s="1"/>
  <c r="F10" i="1"/>
  <c r="B6" i="1"/>
  <c r="C4" i="1" s="1"/>
  <c r="C18" i="2" l="1"/>
  <c r="E18" i="2" s="1"/>
  <c r="E2" i="2"/>
  <c r="C19" i="2"/>
  <c r="E19" i="2" s="1"/>
  <c r="B15" i="2"/>
  <c r="B4" i="3" s="1"/>
  <c r="B14" i="2"/>
  <c r="E6" i="2"/>
  <c r="C5" i="1"/>
  <c r="C2" i="1"/>
  <c r="C3" i="1"/>
  <c r="F14" i="1"/>
  <c r="G12" i="1"/>
  <c r="D4" i="1"/>
  <c r="E4" i="1" s="1"/>
  <c r="G13" i="1"/>
  <c r="G22" i="1"/>
  <c r="G24" i="1"/>
  <c r="D2" i="1"/>
  <c r="F25" i="1"/>
  <c r="D5" i="1"/>
  <c r="E5" i="1" s="1"/>
  <c r="G10" i="1"/>
  <c r="F19" i="1"/>
  <c r="G17" i="1"/>
  <c r="D3" i="1"/>
  <c r="E3" i="1" s="1"/>
  <c r="E21" i="2" l="1"/>
  <c r="B8" i="2"/>
  <c r="B3" i="3" s="1"/>
  <c r="B7" i="2"/>
  <c r="C6" i="1"/>
  <c r="D6" i="1"/>
  <c r="E2" i="1"/>
  <c r="E6" i="1" s="1"/>
  <c r="B7" i="1" s="1"/>
  <c r="B22" i="2" l="1"/>
  <c r="B23" i="2"/>
  <c r="B5" i="3" s="1"/>
  <c r="B6" i="3" s="1"/>
</calcChain>
</file>

<file path=xl/sharedStrings.xml><?xml version="1.0" encoding="utf-8"?>
<sst xmlns="http://schemas.openxmlformats.org/spreadsheetml/2006/main" count="84" uniqueCount="35">
  <si>
    <t>Salary Level</t>
  </si>
  <si>
    <t>Count</t>
  </si>
  <si>
    <t>Proportion (pj)</t>
  </si>
  <si>
    <t>log₂(pj)</t>
  </si>
  <si>
    <t>-pj*log₂(pj)</t>
  </si>
  <si>
    <t>L1</t>
  </si>
  <si>
    <t>L2</t>
  </si>
  <si>
    <t>L3</t>
  </si>
  <si>
    <t>L4</t>
  </si>
  <si>
    <t>Total</t>
  </si>
  <si>
    <t>Initial Entropy:</t>
  </si>
  <si>
    <t>Occupation</t>
  </si>
  <si>
    <t>Entropy</t>
  </si>
  <si>
    <t>Service</t>
  </si>
  <si>
    <t>Management</t>
  </si>
  <si>
    <t>Sales</t>
  </si>
  <si>
    <t>Staff</t>
  </si>
  <si>
    <t>Category</t>
  </si>
  <si>
    <t>Weight</t>
  </si>
  <si>
    <t>Weighted Entropy</t>
  </si>
  <si>
    <t>Weighted Entropy:</t>
  </si>
  <si>
    <t>Information Gain for Occupation:</t>
  </si>
  <si>
    <t>Gender</t>
  </si>
  <si>
    <t>Female</t>
  </si>
  <si>
    <t>Male</t>
  </si>
  <si>
    <t>Information Gain for Gender:</t>
  </si>
  <si>
    <t>Age Group</t>
  </si>
  <si>
    <t>≤30</t>
  </si>
  <si>
    <t>≤40</t>
  </si>
  <si>
    <t>≤50</t>
  </si>
  <si>
    <t>Information Gain for Age Group:</t>
  </si>
  <si>
    <t>Attribute Comparison</t>
  </si>
  <si>
    <t>Attribute</t>
  </si>
  <si>
    <t>Information Gain</t>
  </si>
  <si>
    <t>Best Split Attribute: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</si>
</sst>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15CB-4B53-C843-8F30-7A62D8C11999}">
  <dimension ref="A1:G25"/>
  <sheetViews>
    <sheetView tabSelected="1" workbookViewId="0">
      <selection activeCell="K15" sqref="K15"/>
    </sheetView>
  </sheetViews>
  <sheetFormatPr baseColWidth="10" defaultRowHeight="16" x14ac:dyDescent="0.2"/>
  <cols>
    <col min="1" max="1" width="12.83203125" bestFit="1" customWidth="1"/>
    <col min="2" max="2" width="12.1640625" bestFit="1" customWidth="1"/>
    <col min="3" max="4" width="12.83203125" bestFit="1" customWidth="1"/>
    <col min="5" max="5" width="12.1640625" bestFit="1" customWidth="1"/>
    <col min="6" max="6" width="5.1640625" bestFit="1" customWidth="1"/>
    <col min="7" max="7" width="12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">
      <c r="A2" t="s">
        <v>5</v>
      </c>
      <c r="B2">
        <v>2</v>
      </c>
      <c r="C2">
        <f>B2/B6</f>
        <v>0.18181818181818182</v>
      </c>
      <c r="D2">
        <f>LOG(C2,2)</f>
        <v>-2.4594316186372973</v>
      </c>
      <c r="E2">
        <f>-C2*D2</f>
        <v>0.44716938520678134</v>
      </c>
    </row>
    <row r="3" spans="1:7" x14ac:dyDescent="0.2">
      <c r="A3" t="s">
        <v>6</v>
      </c>
      <c r="B3">
        <v>3</v>
      </c>
      <c r="C3">
        <f>B3/B6</f>
        <v>0.27272727272727271</v>
      </c>
      <c r="D3">
        <f>LOG(C3,2)</f>
        <v>-1.8744691179161412</v>
      </c>
      <c r="E3">
        <f>-C3*D3</f>
        <v>0.51121885034076575</v>
      </c>
    </row>
    <row r="4" spans="1:7" x14ac:dyDescent="0.2">
      <c r="A4" t="s">
        <v>7</v>
      </c>
      <c r="B4">
        <v>3</v>
      </c>
      <c r="C4">
        <f>B4/B6</f>
        <v>0.27272727272727271</v>
      </c>
      <c r="D4">
        <f>LOG(C4,2)</f>
        <v>-1.8744691179161412</v>
      </c>
      <c r="E4">
        <f>-C4*D4</f>
        <v>0.51121885034076575</v>
      </c>
    </row>
    <row r="5" spans="1:7" x14ac:dyDescent="0.2">
      <c r="A5" t="s">
        <v>8</v>
      </c>
      <c r="B5">
        <v>3</v>
      </c>
      <c r="C5">
        <f>B5/B6</f>
        <v>0.27272727272727271</v>
      </c>
      <c r="D5">
        <f>LOG(C5,2)</f>
        <v>-1.8744691179161412</v>
      </c>
      <c r="E5">
        <f>-C5*D5</f>
        <v>0.51121885034076575</v>
      </c>
    </row>
    <row r="6" spans="1:7" x14ac:dyDescent="0.2">
      <c r="A6" t="s">
        <v>9</v>
      </c>
      <c r="B6">
        <f>SUM(B2:B5)</f>
        <v>11</v>
      </c>
      <c r="C6">
        <f t="shared" ref="C6:E6" si="0">SUM(C2:C5)</f>
        <v>1</v>
      </c>
      <c r="D6">
        <f t="shared" si="0"/>
        <v>-8.082838972385721</v>
      </c>
      <c r="E6">
        <f t="shared" si="0"/>
        <v>1.9808259362290785</v>
      </c>
    </row>
    <row r="7" spans="1:7" x14ac:dyDescent="0.2">
      <c r="A7" t="s">
        <v>10</v>
      </c>
      <c r="B7">
        <f>E6</f>
        <v>1.9808259362290785</v>
      </c>
    </row>
    <row r="9" spans="1:7" x14ac:dyDescent="0.2">
      <c r="A9" t="s">
        <v>11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12</v>
      </c>
    </row>
    <row r="10" spans="1:7" x14ac:dyDescent="0.2">
      <c r="A10" t="s">
        <v>13</v>
      </c>
      <c r="B10">
        <v>1</v>
      </c>
      <c r="C10">
        <v>1</v>
      </c>
      <c r="D10">
        <v>1</v>
      </c>
      <c r="E10">
        <v>0</v>
      </c>
      <c r="F10">
        <f>SUM(B10:E10)</f>
        <v>3</v>
      </c>
      <c r="G10">
        <f>-((B10/F10)*LOG(B10/F10,2)+(C10/F10)*LOG(C10/F10,2)+(D10/F10)*LOG(D10/F10,2))</f>
        <v>1.5849625007211561</v>
      </c>
    </row>
    <row r="11" spans="1:7" x14ac:dyDescent="0.2">
      <c r="A11" t="s">
        <v>14</v>
      </c>
      <c r="B11">
        <v>0</v>
      </c>
      <c r="C11">
        <v>0</v>
      </c>
      <c r="D11">
        <v>2</v>
      </c>
      <c r="E11">
        <v>2</v>
      </c>
      <c r="F11">
        <f>SUM(B11:E11)</f>
        <v>4</v>
      </c>
      <c r="G11">
        <f>-((D11/F11)*LOG(D11/F11,2)+(E11/F11)*LOG(E11/F11,2))</f>
        <v>1</v>
      </c>
    </row>
    <row r="12" spans="1:7" x14ac:dyDescent="0.2">
      <c r="A12" t="s">
        <v>15</v>
      </c>
      <c r="B12">
        <v>0</v>
      </c>
      <c r="C12">
        <v>1</v>
      </c>
      <c r="D12">
        <v>1</v>
      </c>
      <c r="E12">
        <v>0</v>
      </c>
      <c r="F12">
        <f>SUM(B12:E12)</f>
        <v>2</v>
      </c>
      <c r="G12">
        <f>-((C12/F12)*LOG(C12/F12,2)+(D12/F12)*LOG(D12/F12,2))</f>
        <v>1</v>
      </c>
    </row>
    <row r="13" spans="1:7" x14ac:dyDescent="0.2">
      <c r="A13" t="s">
        <v>16</v>
      </c>
      <c r="B13">
        <v>1</v>
      </c>
      <c r="C13">
        <v>1</v>
      </c>
      <c r="D13">
        <v>0</v>
      </c>
      <c r="E13">
        <v>0</v>
      </c>
      <c r="F13">
        <f>SUM(B13:E13)</f>
        <v>2</v>
      </c>
      <c r="G13">
        <f>-((B13/F13)*LOG(B13/F13,2)+(C13/F13)*LOG(C13/F13,2))</f>
        <v>1</v>
      </c>
    </row>
    <row r="14" spans="1:7" x14ac:dyDescent="0.2">
      <c r="A14" t="s">
        <v>9</v>
      </c>
      <c r="B14">
        <f>SUM(B10:B13)</f>
        <v>2</v>
      </c>
      <c r="C14">
        <f>SUM(C10:C13)</f>
        <v>3</v>
      </c>
      <c r="D14">
        <f>SUM(D10:D13)</f>
        <v>4</v>
      </c>
      <c r="E14">
        <f>SUM(E10:E13)</f>
        <v>2</v>
      </c>
      <c r="F14">
        <f>SUM(F10:F13)</f>
        <v>11</v>
      </c>
    </row>
    <row r="16" spans="1:7" x14ac:dyDescent="0.2">
      <c r="A16" t="s">
        <v>22</v>
      </c>
      <c r="B16" t="s">
        <v>5</v>
      </c>
      <c r="C16" t="s">
        <v>6</v>
      </c>
      <c r="D16" t="s">
        <v>7</v>
      </c>
      <c r="E16" t="s">
        <v>8</v>
      </c>
      <c r="F16" t="s">
        <v>9</v>
      </c>
      <c r="G16" t="s">
        <v>12</v>
      </c>
    </row>
    <row r="17" spans="1:7" x14ac:dyDescent="0.2">
      <c r="A17" t="s">
        <v>23</v>
      </c>
      <c r="B17">
        <v>0</v>
      </c>
      <c r="C17">
        <v>1</v>
      </c>
      <c r="D17">
        <v>1</v>
      </c>
      <c r="E17">
        <v>3</v>
      </c>
      <c r="F17">
        <f>SUM(B17:E17)</f>
        <v>5</v>
      </c>
      <c r="G17">
        <f>-((C17/F17)*LOG(C17/F17,2)+(D17/F17)*LOG(D17/F17,2)+(E17/F17)*LOG(E17/F17,2))</f>
        <v>1.3709505944546687</v>
      </c>
    </row>
    <row r="18" spans="1:7" x14ac:dyDescent="0.2">
      <c r="A18" t="s">
        <v>24</v>
      </c>
      <c r="B18">
        <v>2</v>
      </c>
      <c r="C18">
        <v>2</v>
      </c>
      <c r="D18">
        <v>2</v>
      </c>
      <c r="E18">
        <v>0</v>
      </c>
      <c r="F18">
        <f>SUM(B18:E18)</f>
        <v>6</v>
      </c>
      <c r="G18">
        <f>-((B18/F18)*LOG(B18/F18,2)+(C18/F18)*LOG(C18/F18,2)+(D18/F18)*LOG(D18/F18,2))</f>
        <v>1.5849625007211561</v>
      </c>
    </row>
    <row r="19" spans="1:7" x14ac:dyDescent="0.2">
      <c r="A19" t="s">
        <v>9</v>
      </c>
      <c r="B19">
        <f>SUM(B17:B18)</f>
        <v>2</v>
      </c>
      <c r="C19">
        <f t="shared" ref="C19:F19" si="1">SUM(C17:C18)</f>
        <v>3</v>
      </c>
      <c r="D19">
        <f t="shared" si="1"/>
        <v>3</v>
      </c>
      <c r="E19">
        <f t="shared" si="1"/>
        <v>3</v>
      </c>
      <c r="F19">
        <f t="shared" si="1"/>
        <v>11</v>
      </c>
    </row>
    <row r="21" spans="1:7" x14ac:dyDescent="0.2">
      <c r="A21" t="s">
        <v>26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12</v>
      </c>
    </row>
    <row r="22" spans="1:7" x14ac:dyDescent="0.2">
      <c r="A22" t="s">
        <v>27</v>
      </c>
      <c r="B22">
        <v>2</v>
      </c>
      <c r="C22">
        <v>0</v>
      </c>
      <c r="D22">
        <v>2</v>
      </c>
      <c r="E22">
        <v>0</v>
      </c>
      <c r="F22">
        <f>SUM(B22:E22)</f>
        <v>4</v>
      </c>
      <c r="G22">
        <f>-((B22/F22)*LOG(B22/F22,2)+(D22/F22)*LOG(D22/F22,2))</f>
        <v>1</v>
      </c>
    </row>
    <row r="23" spans="1:7" x14ac:dyDescent="0.2">
      <c r="A23" t="s">
        <v>28</v>
      </c>
      <c r="B23">
        <v>0</v>
      </c>
      <c r="C23">
        <v>2</v>
      </c>
      <c r="D23">
        <v>0</v>
      </c>
      <c r="E23">
        <v>0</v>
      </c>
      <c r="F23">
        <f t="shared" ref="F23:F24" si="2">SUM(B23:E23)</f>
        <v>2</v>
      </c>
      <c r="G23">
        <f>0</f>
        <v>0</v>
      </c>
    </row>
    <row r="24" spans="1:7" x14ac:dyDescent="0.2">
      <c r="A24" t="s">
        <v>29</v>
      </c>
      <c r="B24">
        <v>0</v>
      </c>
      <c r="C24">
        <v>1</v>
      </c>
      <c r="D24">
        <v>1</v>
      </c>
      <c r="E24">
        <v>3</v>
      </c>
      <c r="F24">
        <f t="shared" si="2"/>
        <v>5</v>
      </c>
      <c r="G24">
        <f>-((C24/F24)*LOG(C24/F24,2)+(D24/F24)*LOG(D24/F24,2)+(E24/F24)*LOG(E24/F24,2))</f>
        <v>1.3709505944546687</v>
      </c>
    </row>
    <row r="25" spans="1:7" x14ac:dyDescent="0.2">
      <c r="A25" t="s">
        <v>9</v>
      </c>
      <c r="B25">
        <f>SUM(B22:B24)</f>
        <v>2</v>
      </c>
      <c r="C25">
        <f t="shared" ref="C25:F25" si="3">SUM(C22:C24)</f>
        <v>3</v>
      </c>
      <c r="D25">
        <f t="shared" si="3"/>
        <v>3</v>
      </c>
      <c r="E25">
        <f t="shared" si="3"/>
        <v>3</v>
      </c>
      <c r="F25">
        <f t="shared" si="3"/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6E34-EBB5-4F48-8CFB-A29C74FAA762}">
  <dimension ref="A1:E23"/>
  <sheetViews>
    <sheetView workbookViewId="0">
      <selection activeCell="C38" sqref="C38"/>
    </sheetView>
  </sheetViews>
  <sheetFormatPr baseColWidth="10" defaultRowHeight="16" x14ac:dyDescent="0.2"/>
  <cols>
    <col min="1" max="1" width="28" bestFit="1" customWidth="1"/>
    <col min="2" max="2" width="12.83203125" bestFit="1" customWidth="1"/>
    <col min="3" max="4" width="12.1640625" bestFit="1" customWidth="1"/>
    <col min="5" max="5" width="15.33203125" bestFit="1" customWidth="1"/>
  </cols>
  <sheetData>
    <row r="1" spans="1:5" x14ac:dyDescent="0.2">
      <c r="A1" t="s">
        <v>17</v>
      </c>
      <c r="B1" t="s">
        <v>1</v>
      </c>
      <c r="C1" t="s">
        <v>18</v>
      </c>
      <c r="D1" t="s">
        <v>12</v>
      </c>
      <c r="E1" t="s">
        <v>19</v>
      </c>
    </row>
    <row r="2" spans="1:5" x14ac:dyDescent="0.2">
      <c r="A2" t="s">
        <v>13</v>
      </c>
      <c r="B2">
        <f>Analysis!F10</f>
        <v>3</v>
      </c>
      <c r="C2">
        <f>B2/B5</f>
        <v>1.5</v>
      </c>
      <c r="D2">
        <f>Analysis!G10</f>
        <v>1.5849625007211561</v>
      </c>
      <c r="E2">
        <f>C2*D2</f>
        <v>2.3774437510817341</v>
      </c>
    </row>
    <row r="3" spans="1:5" x14ac:dyDescent="0.2">
      <c r="A3" t="s">
        <v>14</v>
      </c>
      <c r="B3">
        <f>Analysis!F11</f>
        <v>4</v>
      </c>
      <c r="C3">
        <f>B3/B5</f>
        <v>2</v>
      </c>
      <c r="D3">
        <f>Analysis!G11</f>
        <v>1</v>
      </c>
      <c r="E3">
        <f>C3*D3</f>
        <v>2</v>
      </c>
    </row>
    <row r="4" spans="1:5" x14ac:dyDescent="0.2">
      <c r="A4" t="s">
        <v>15</v>
      </c>
      <c r="B4">
        <f>Analysis!F12</f>
        <v>2</v>
      </c>
      <c r="C4">
        <f>B4/B5</f>
        <v>1</v>
      </c>
      <c r="D4">
        <f>Analysis!G12</f>
        <v>1</v>
      </c>
      <c r="E4">
        <f>C4*D4</f>
        <v>1</v>
      </c>
    </row>
    <row r="5" spans="1:5" x14ac:dyDescent="0.2">
      <c r="A5" t="s">
        <v>16</v>
      </c>
      <c r="B5">
        <f>Analysis!F13</f>
        <v>2</v>
      </c>
      <c r="C5">
        <f>B5/B5</f>
        <v>1</v>
      </c>
      <c r="D5">
        <f>Analysis!G13</f>
        <v>1</v>
      </c>
      <c r="E5">
        <f>C5*D5</f>
        <v>1</v>
      </c>
    </row>
    <row r="6" spans="1:5" x14ac:dyDescent="0.2">
      <c r="A6" t="s">
        <v>9</v>
      </c>
      <c r="B6">
        <f>Analysis!F14</f>
        <v>11</v>
      </c>
      <c r="E6">
        <f>SUM(E2,E3,E4,E5)</f>
        <v>6.3774437510817341</v>
      </c>
    </row>
    <row r="7" spans="1:5" x14ac:dyDescent="0.2">
      <c r="A7" t="s">
        <v>20</v>
      </c>
      <c r="B7">
        <f>E6</f>
        <v>6.3774437510817341</v>
      </c>
    </row>
    <row r="8" spans="1:5" x14ac:dyDescent="0.2">
      <c r="A8" t="s">
        <v>21</v>
      </c>
      <c r="B8">
        <f>Analysis!E7-E6</f>
        <v>-6.3774437510817341</v>
      </c>
    </row>
    <row r="10" spans="1:5" x14ac:dyDescent="0.2">
      <c r="A10" t="s">
        <v>17</v>
      </c>
      <c r="B10" t="s">
        <v>1</v>
      </c>
      <c r="C10" t="s">
        <v>18</v>
      </c>
      <c r="D10" t="s">
        <v>12</v>
      </c>
      <c r="E10" t="s">
        <v>19</v>
      </c>
    </row>
    <row r="11" spans="1:5" x14ac:dyDescent="0.2">
      <c r="A11" t="s">
        <v>23</v>
      </c>
      <c r="B11">
        <f>Analysis!F17</f>
        <v>5</v>
      </c>
      <c r="C11">
        <f>B11/B13</f>
        <v>0.45454545454545453</v>
      </c>
      <c r="D11">
        <f>Analysis!G17</f>
        <v>1.3709505944546687</v>
      </c>
      <c r="E11">
        <f>C11*D11</f>
        <v>0.62315936111575854</v>
      </c>
    </row>
    <row r="12" spans="1:5" x14ac:dyDescent="0.2">
      <c r="A12" t="s">
        <v>24</v>
      </c>
      <c r="B12">
        <f>Analysis!F18</f>
        <v>6</v>
      </c>
      <c r="C12">
        <f>B12/B13</f>
        <v>0.54545454545454541</v>
      </c>
      <c r="D12">
        <f>Analysis!G18</f>
        <v>1.5849625007211561</v>
      </c>
      <c r="E12">
        <f>C12*D12</f>
        <v>0.86452500039335778</v>
      </c>
    </row>
    <row r="13" spans="1:5" x14ac:dyDescent="0.2">
      <c r="A13" t="s">
        <v>9</v>
      </c>
      <c r="B13">
        <f>Analysis!F19</f>
        <v>11</v>
      </c>
      <c r="E13">
        <f>SUM(E11,E12)</f>
        <v>1.4876843615091162</v>
      </c>
    </row>
    <row r="14" spans="1:5" x14ac:dyDescent="0.2">
      <c r="A14" t="s">
        <v>20</v>
      </c>
      <c r="B14">
        <f>E13</f>
        <v>1.4876843615091162</v>
      </c>
    </row>
    <row r="15" spans="1:5" x14ac:dyDescent="0.2">
      <c r="A15" t="s">
        <v>25</v>
      </c>
      <c r="B15">
        <f>Analysis!E7-E13</f>
        <v>-1.4876843615091162</v>
      </c>
    </row>
    <row r="17" spans="1:5" x14ac:dyDescent="0.2">
      <c r="A17" t="s">
        <v>17</v>
      </c>
      <c r="B17" t="s">
        <v>1</v>
      </c>
      <c r="C17" t="s">
        <v>18</v>
      </c>
      <c r="D17" t="s">
        <v>12</v>
      </c>
      <c r="E17" t="s">
        <v>19</v>
      </c>
    </row>
    <row r="18" spans="1:5" x14ac:dyDescent="0.2">
      <c r="A18" t="s">
        <v>27</v>
      </c>
      <c r="B18">
        <f>Analysis!F22</f>
        <v>4</v>
      </c>
      <c r="C18">
        <f>B18/B20</f>
        <v>0.8</v>
      </c>
      <c r="D18">
        <f>Analysis!G22</f>
        <v>1</v>
      </c>
      <c r="E18">
        <f>C18*D18</f>
        <v>0.8</v>
      </c>
    </row>
    <row r="19" spans="1:5" x14ac:dyDescent="0.2">
      <c r="A19" t="s">
        <v>28</v>
      </c>
      <c r="B19">
        <f>Analysis!F23</f>
        <v>2</v>
      </c>
      <c r="C19">
        <f>B19/B20</f>
        <v>0.4</v>
      </c>
      <c r="D19">
        <f>Analysis!G23</f>
        <v>0</v>
      </c>
      <c r="E19">
        <f>C19*D19</f>
        <v>0</v>
      </c>
    </row>
    <row r="20" spans="1:5" x14ac:dyDescent="0.2">
      <c r="A20" t="s">
        <v>29</v>
      </c>
      <c r="B20">
        <f>Analysis!F24</f>
        <v>5</v>
      </c>
      <c r="C20">
        <f>B20/B20</f>
        <v>1</v>
      </c>
      <c r="D20">
        <f>Analysis!G24</f>
        <v>1.3709505944546687</v>
      </c>
      <c r="E20">
        <f>C20*D20</f>
        <v>1.3709505944546687</v>
      </c>
    </row>
    <row r="21" spans="1:5" x14ac:dyDescent="0.2">
      <c r="A21" t="s">
        <v>9</v>
      </c>
      <c r="B21">
        <f>Analysis!F25</f>
        <v>11</v>
      </c>
      <c r="E21">
        <f>SUM(E18,E19,E20)</f>
        <v>2.170950594454669</v>
      </c>
    </row>
    <row r="22" spans="1:5" x14ac:dyDescent="0.2">
      <c r="A22" t="s">
        <v>20</v>
      </c>
      <c r="B22">
        <f>E21</f>
        <v>2.170950594454669</v>
      </c>
    </row>
    <row r="23" spans="1:5" x14ac:dyDescent="0.2">
      <c r="A23" t="s">
        <v>30</v>
      </c>
      <c r="B23">
        <f>Analysis!E7-E21</f>
        <v>-2.170950594454669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FC6F-826F-7849-B6BE-72F1F9CB4160}">
  <dimension ref="A1:B6"/>
  <sheetViews>
    <sheetView workbookViewId="0">
      <selection activeCell="E35" sqref="E35"/>
    </sheetView>
  </sheetViews>
  <sheetFormatPr baseColWidth="10" defaultRowHeight="16" x14ac:dyDescent="0.2"/>
  <cols>
    <col min="1" max="1" width="18.6640625" bestFit="1" customWidth="1"/>
    <col min="2" max="2" width="14.6640625" bestFit="1" customWidth="1"/>
  </cols>
  <sheetData>
    <row r="1" spans="1:2" x14ac:dyDescent="0.2">
      <c r="A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11</v>
      </c>
      <c r="B3">
        <f>'Information Gain'!B8</f>
        <v>-6.3774437510817341</v>
      </c>
    </row>
    <row r="4" spans="1:2" x14ac:dyDescent="0.2">
      <c r="A4" t="s">
        <v>22</v>
      </c>
      <c r="B4">
        <f>'Information Gain'!B15</f>
        <v>-1.4876843615091162</v>
      </c>
    </row>
    <row r="5" spans="1:2" x14ac:dyDescent="0.2">
      <c r="A5" t="s">
        <v>26</v>
      </c>
      <c r="B5">
        <f>'Information Gain'!B23</f>
        <v>-2.170950594454669</v>
      </c>
    </row>
    <row r="6" spans="1:2" x14ac:dyDescent="0.2">
      <c r="A6" t="s">
        <v>34</v>
      </c>
      <c r="B6" t="str">
        <f>INDEX(A3:A5,MATCH(MAX(B3:B5),B3:B5,0))</f>
        <v>Gender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Information Gain</vt:lpstr>
      <vt:lpstr>Final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Dhandharia</dc:creator>
  <cp:lastModifiedBy>Ankit Dhandharia</cp:lastModifiedBy>
  <dcterms:created xsi:type="dcterms:W3CDTF">2025-03-27T02:18:29Z</dcterms:created>
  <dcterms:modified xsi:type="dcterms:W3CDTF">2025-03-27T02:24:34Z</dcterms:modified>
</cp:coreProperties>
</file>