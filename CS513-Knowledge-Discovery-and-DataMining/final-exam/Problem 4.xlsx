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kitdhandharia/Downloads/Final_Exam_Ankit_Dhandharia_20033225/"/>
    </mc:Choice>
  </mc:AlternateContent>
  <xr:revisionPtr revIDLastSave="0" documentId="13_ncr:1_{33E2C717-3EE5-6D46-9111-A5695FED3918}" xr6:coauthVersionLast="47" xr6:coauthVersionMax="47" xr10:uidLastSave="{00000000-0000-0000-0000-000000000000}"/>
  <bookViews>
    <workbookView xWindow="5840" yWindow="500" windowWidth="22960" windowHeight="16280" xr2:uid="{7F7B046E-4D81-D043-85FA-689966DDDD77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2" i="2" l="1"/>
  <c r="A24" i="2" s="1"/>
  <c r="B22" i="2"/>
  <c r="B24" i="2"/>
  <c r="C22" i="2" l="1"/>
  <c r="C24" i="2" s="1"/>
  <c r="F22" i="2"/>
  <c r="E22" i="2" s="1"/>
  <c r="D24" i="2"/>
  <c r="E24" i="2" l="1"/>
</calcChain>
</file>

<file path=xl/sharedStrings.xml><?xml version="1.0" encoding="utf-8"?>
<sst xmlns="http://schemas.openxmlformats.org/spreadsheetml/2006/main" count="51" uniqueCount="30">
  <si>
    <t>Input Values</t>
  </si>
  <si>
    <t>Node 1</t>
  </si>
  <si>
    <t>Node 2</t>
  </si>
  <si>
    <t>Node 3</t>
  </si>
  <si>
    <t>Node 4</t>
  </si>
  <si>
    <t>Bias</t>
  </si>
  <si>
    <t>From</t>
  </si>
  <si>
    <t>To</t>
  </si>
  <si>
    <t>Weight</t>
  </si>
  <si>
    <t>x</t>
  </si>
  <si>
    <t>xx</t>
  </si>
  <si>
    <t>A</t>
  </si>
  <si>
    <t>B</t>
  </si>
  <si>
    <t>z</t>
  </si>
  <si>
    <t>Error</t>
  </si>
  <si>
    <t>Net Input A</t>
  </si>
  <si>
    <t>Output A</t>
  </si>
  <si>
    <t>Net Input B</t>
  </si>
  <si>
    <t>Output B</t>
  </si>
  <si>
    <t>Net Input z</t>
  </si>
  <si>
    <t>Output z</t>
  </si>
  <si>
    <t>Actual Output</t>
  </si>
  <si>
    <t>Delta z</t>
  </si>
  <si>
    <t>Updated A→z</t>
  </si>
  <si>
    <t>Updated Node1→A</t>
  </si>
  <si>
    <t>Column1</t>
  </si>
  <si>
    <t xml:space="preserve">Name: </t>
  </si>
  <si>
    <t>Ankit BhagwatiPrasad Dhandharia</t>
  </si>
  <si>
    <t>CWID:</t>
  </si>
  <si>
    <t>Question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</si>
</sst>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000000"/>
      <name val="Aptos Narrow"/>
      <scheme val="minor"/>
    </font>
    <font>
      <b/>
      <sz val="12"/>
      <color theme="1"/>
      <name val="Aptos Narrow"/>
      <scheme val="minor"/>
    </font>
    <font>
      <b/>
      <sz val="24"/>
      <color theme="1"/>
      <name val="Aptos Narrow (Body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DD0EE07-EE6C-FF4E-AE2C-7FD202876795}" name="Table2" displayName="Table2" ref="A6:B11" totalsRowShown="0" headerRowDxfId="25" dataDxfId="24">
  <autoFilter ref="A6:B11" xr:uid="{6DD0EE07-EE6C-FF4E-AE2C-7FD202876795}"/>
  <tableColumns count="2">
    <tableColumn id="1" xr3:uid="{4E0B98CB-9BA9-094A-ADEF-82EF66FE09E5}" name="Input Values" dataDxfId="23"/>
    <tableColumn id="2" xr3:uid="{4011DE0B-8C6A-7142-9D3D-8A2A5EACE64D}" name="Column1" dataDxfId="22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F6C0F2D-6D77-3B42-AA91-C9C973BD3DDA}" name="Table3" displayName="Table3" ref="C6:E19" totalsRowShown="0" headerRowDxfId="21" dataDxfId="20">
  <autoFilter ref="C6:E19" xr:uid="{1F6C0F2D-6D77-3B42-AA91-C9C973BD3DDA}"/>
  <tableColumns count="3">
    <tableColumn id="1" xr3:uid="{8600B24C-A345-CD43-95F2-1A06BBA5BAF5}" name="From" dataDxfId="19"/>
    <tableColumn id="2" xr3:uid="{3AA8E94D-8BA6-4148-873A-05B3A1647D11}" name="To" dataDxfId="18"/>
    <tableColumn id="3" xr3:uid="{03D9BB35-7B3E-7D46-AB58-AABA7FCAC12C}" name="Weight" dataDxfId="17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7E17111-7CB4-474A-8467-38220496AA28}" name="Table9" displayName="Table9" ref="A21:E22" totalsRowShown="0" headerRowDxfId="16" dataDxfId="15">
  <autoFilter ref="A21:E22" xr:uid="{17E17111-7CB4-474A-8467-38220496AA28}"/>
  <tableColumns count="5">
    <tableColumn id="1" xr3:uid="{31B172F2-85DF-2E40-B7D9-ACF1C34DAE80}" name="Net Input A" dataDxfId="14">
      <calculatedColumnFormula>B7*E8 + B8*E9 + B9*E10 + B10*E11 + B11*E7</calculatedColumnFormula>
    </tableColumn>
    <tableColumn id="2" xr3:uid="{04ED1070-0673-9047-9DC2-F542A31034FD}" name="Net Input B" dataDxfId="13">
      <calculatedColumnFormula>B7*E13 + B8*E14 + B9*E15 + B10*E16 + B11*E12</calculatedColumnFormula>
    </tableColumn>
    <tableColumn id="3" xr3:uid="{27E3102A-BF42-A54B-8782-3D8C33019C81}" name="Net Input z" dataDxfId="12">
      <calculatedColumnFormula>A24*E18 + B24*E19 + B11*E17</calculatedColumnFormula>
    </tableColumn>
    <tableColumn id="4" xr3:uid="{63FB3B87-1530-F24F-A1AE-5CC4650E96D8}" name="Actual Output" dataDxfId="11"/>
    <tableColumn id="5" xr3:uid="{2FA530FA-FECE-C04B-8572-8C2F30E32570}" name="Updated A→z" dataDxfId="10">
      <calculatedColumnFormula>E18 + 0.1 * F22 * A24</calculatedColumnFormula>
    </tableColumn>
  </tableColumns>
  <tableStyleInfo name="TableStyleLight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D16C1FA-0155-A64B-9D07-9BBB77393DB5}" name="Table10" displayName="Table10" ref="A23:E24" totalsRowShown="0" headerRowDxfId="9" dataDxfId="8">
  <autoFilter ref="A23:E24" xr:uid="{8D16C1FA-0155-A64B-9D07-9BBB77393DB5}"/>
  <tableColumns count="5">
    <tableColumn id="1" xr3:uid="{51267A27-05EA-1E4A-B1BE-833BE46DA2B2}" name="Output A" dataDxfId="7">
      <calculatedColumnFormula>1/(1+EXP(-A22))</calculatedColumnFormula>
    </tableColumn>
    <tableColumn id="2" xr3:uid="{CC6966D7-A467-DC44-973C-029DE72C8A33}" name="Output B" dataDxfId="6">
      <calculatedColumnFormula>1/(1+EXP(-B22))</calculatedColumnFormula>
    </tableColumn>
    <tableColumn id="3" xr3:uid="{C60E87EB-4193-9C45-9BD0-F25FD323B8BA}" name="Output z" dataDxfId="5">
      <calculatedColumnFormula>1/(1+EXP(-C22))</calculatedColumnFormula>
    </tableColumn>
    <tableColumn id="4" xr3:uid="{75BCDE0F-895D-FC42-AA56-771BE99BFE16}" name="Error" dataDxfId="4">
      <calculatedColumnFormula>0.5*(D22 - C24)^2</calculatedColumnFormula>
    </tableColumn>
    <tableColumn id="5" xr3:uid="{D33F6078-50CC-1C46-8E5D-8AA644BAB363}" name="Updated Node1→A" dataDxfId="3">
      <calculatedColumnFormula>E8 + 0.1 * B7 * A24 * (1 - A24) * E18 * F22</calculatedColumnFormula>
    </tableColumn>
  </tableColumns>
  <tableStyleInfo name="TableStyleLight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01AD386-D947-CD46-B2C5-52E73C20FD58}" name="Table11" displayName="Table11" ref="F21:F22" totalsRowShown="0" headerRowDxfId="2" dataDxfId="1">
  <autoFilter ref="F21:F22" xr:uid="{101AD386-D947-CD46-B2C5-52E73C20FD58}"/>
  <tableColumns count="1">
    <tableColumn id="1" xr3:uid="{80E63DF4-628E-3E4E-A4A8-3C7F098C58C1}" name="Delta z" dataDxfId="0">
      <calculatedColumnFormula>(D22 - C24) * C24 * (1 - C24)</calculatedColumnFormula>
    </tableColumn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74917-1ABB-A645-8166-E041BAB8CAAA}">
  <dimension ref="A1:F24"/>
  <sheetViews>
    <sheetView tabSelected="1" workbookViewId="0">
      <selection sqref="A1:E3"/>
    </sheetView>
  </sheetViews>
  <sheetFormatPr baseColWidth="10" defaultRowHeight="16" x14ac:dyDescent="0.2"/>
  <cols>
    <col min="1" max="1" width="13.83203125" bestFit="1" customWidth="1"/>
    <col min="2" max="2" width="12.6640625" bestFit="1" customWidth="1"/>
    <col min="3" max="3" width="12.33203125" bestFit="1" customWidth="1"/>
    <col min="4" max="4" width="15" bestFit="1" customWidth="1"/>
    <col min="5" max="5" width="19" bestFit="1" customWidth="1"/>
    <col min="6" max="6" width="9.5" bestFit="1" customWidth="1"/>
    <col min="8" max="8" width="12.33203125" customWidth="1"/>
    <col min="9" max="10" width="14" bestFit="1" customWidth="1"/>
    <col min="11" max="11" width="14.6640625" customWidth="1"/>
    <col min="12" max="12" width="20" bestFit="1" customWidth="1"/>
  </cols>
  <sheetData>
    <row r="1" spans="1:5" ht="32" x14ac:dyDescent="0.4">
      <c r="A1" s="4" t="s">
        <v>29</v>
      </c>
      <c r="B1" s="5"/>
      <c r="C1" s="5"/>
      <c r="D1" s="5"/>
      <c r="E1" s="5"/>
    </row>
    <row r="2" spans="1:5" x14ac:dyDescent="0.2">
      <c r="B2" s="3" t="s">
        <v>26</v>
      </c>
      <c r="C2" t="s">
        <v>27</v>
      </c>
    </row>
    <row r="3" spans="1:5" x14ac:dyDescent="0.2">
      <c r="B3" s="3" t="s">
        <v>28</v>
      </c>
      <c r="C3">
        <v>20033031</v>
      </c>
    </row>
    <row r="6" spans="1:5" x14ac:dyDescent="0.2">
      <c r="A6" t="s">
        <v>0</v>
      </c>
      <c r="B6" t="s">
        <v>25</v>
      </c>
      <c r="C6" t="s">
        <v>6</v>
      </c>
      <c r="D6" t="s">
        <v>7</v>
      </c>
      <c r="E6" t="s">
        <v>8</v>
      </c>
    </row>
    <row r="7" spans="1:5" x14ac:dyDescent="0.2">
      <c r="A7" t="s">
        <v>1</v>
      </c>
      <c r="B7">
        <v>0.3</v>
      </c>
      <c r="C7" t="s">
        <v>9</v>
      </c>
      <c r="D7" t="s">
        <v>11</v>
      </c>
      <c r="E7">
        <v>0.5</v>
      </c>
    </row>
    <row r="8" spans="1:5" x14ac:dyDescent="0.2">
      <c r="A8" t="s">
        <v>2</v>
      </c>
      <c r="B8">
        <v>0.6</v>
      </c>
      <c r="C8" t="s">
        <v>1</v>
      </c>
      <c r="D8" t="s">
        <v>11</v>
      </c>
      <c r="E8">
        <v>0.6</v>
      </c>
    </row>
    <row r="9" spans="1:5" x14ac:dyDescent="0.2">
      <c r="A9" t="s">
        <v>3</v>
      </c>
      <c r="B9">
        <v>0.6</v>
      </c>
      <c r="C9" t="s">
        <v>2</v>
      </c>
      <c r="D9" t="s">
        <v>11</v>
      </c>
      <c r="E9">
        <v>0.8</v>
      </c>
    </row>
    <row r="10" spans="1:5" x14ac:dyDescent="0.2">
      <c r="A10" t="s">
        <v>4</v>
      </c>
      <c r="B10">
        <v>0.3</v>
      </c>
      <c r="C10" t="s">
        <v>3</v>
      </c>
      <c r="D10" t="s">
        <v>11</v>
      </c>
      <c r="E10">
        <v>0.6</v>
      </c>
    </row>
    <row r="11" spans="1:5" x14ac:dyDescent="0.2">
      <c r="A11" t="s">
        <v>5</v>
      </c>
      <c r="B11">
        <v>1</v>
      </c>
      <c r="C11" t="s">
        <v>4</v>
      </c>
      <c r="D11" t="s">
        <v>11</v>
      </c>
      <c r="E11">
        <v>0.2</v>
      </c>
    </row>
    <row r="12" spans="1:5" x14ac:dyDescent="0.2">
      <c r="C12" t="s">
        <v>9</v>
      </c>
      <c r="D12" t="s">
        <v>12</v>
      </c>
      <c r="E12">
        <v>0.7</v>
      </c>
    </row>
    <row r="13" spans="1:5" x14ac:dyDescent="0.2">
      <c r="C13" t="s">
        <v>1</v>
      </c>
      <c r="D13" t="s">
        <v>12</v>
      </c>
      <c r="E13">
        <v>0.9</v>
      </c>
    </row>
    <row r="14" spans="1:5" x14ac:dyDescent="0.2">
      <c r="C14" t="s">
        <v>2</v>
      </c>
      <c r="D14" t="s">
        <v>12</v>
      </c>
      <c r="E14">
        <v>0.8</v>
      </c>
    </row>
    <row r="15" spans="1:5" x14ac:dyDescent="0.2">
      <c r="C15" t="s">
        <v>3</v>
      </c>
      <c r="D15" t="s">
        <v>12</v>
      </c>
      <c r="E15">
        <v>0.4</v>
      </c>
    </row>
    <row r="16" spans="1:5" x14ac:dyDescent="0.2">
      <c r="C16" t="s">
        <v>4</v>
      </c>
      <c r="D16" t="s">
        <v>12</v>
      </c>
      <c r="E16">
        <v>0.2</v>
      </c>
    </row>
    <row r="17" spans="1:6" x14ac:dyDescent="0.2">
      <c r="C17" t="s">
        <v>10</v>
      </c>
      <c r="D17" t="s">
        <v>13</v>
      </c>
      <c r="E17">
        <v>0.5</v>
      </c>
    </row>
    <row r="18" spans="1:6" x14ac:dyDescent="0.2">
      <c r="C18" t="s">
        <v>11</v>
      </c>
      <c r="D18" t="s">
        <v>13</v>
      </c>
      <c r="E18">
        <v>0.85</v>
      </c>
    </row>
    <row r="19" spans="1:6" x14ac:dyDescent="0.2">
      <c r="C19" t="s">
        <v>12</v>
      </c>
      <c r="D19" t="s">
        <v>13</v>
      </c>
      <c r="E19">
        <v>0.85</v>
      </c>
    </row>
    <row r="21" spans="1:6" x14ac:dyDescent="0.2">
      <c r="A21" s="1" t="s">
        <v>15</v>
      </c>
      <c r="B21" s="2" t="s">
        <v>17</v>
      </c>
      <c r="C21" s="1" t="s">
        <v>19</v>
      </c>
      <c r="D21" s="2" t="s">
        <v>21</v>
      </c>
      <c r="E21" s="2" t="s">
        <v>23</v>
      </c>
      <c r="F21" s="2" t="s">
        <v>22</v>
      </c>
    </row>
    <row r="22" spans="1:6" x14ac:dyDescent="0.2">
      <c r="A22" s="1">
        <f>B7*E8 + B8*E9 + B9*E10 + B10*E11 + B11*E7</f>
        <v>1.58</v>
      </c>
      <c r="B22" s="2">
        <f>B7*E13 + B8*E14 + B9*E15 + B10*E16 + B11*E12</f>
        <v>1.75</v>
      </c>
      <c r="C22" s="2">
        <f>A24*E18 + B24*E19 + B11*E17</f>
        <v>1.9289837219540458</v>
      </c>
      <c r="D22" s="1">
        <v>0.8</v>
      </c>
      <c r="E22" s="2">
        <f>E18 + 0.1 * F22 * A24</f>
        <v>0.84932823736812224</v>
      </c>
      <c r="F22" s="2">
        <f>(D22 - C24) * C24 * (1 - C24)</f>
        <v>-8.101290059490996E-3</v>
      </c>
    </row>
    <row r="23" spans="1:6" x14ac:dyDescent="0.2">
      <c r="A23" s="1" t="s">
        <v>16</v>
      </c>
      <c r="B23" s="1" t="s">
        <v>18</v>
      </c>
      <c r="C23" s="1" t="s">
        <v>20</v>
      </c>
      <c r="D23" s="2" t="s">
        <v>14</v>
      </c>
      <c r="E23" s="2" t="s">
        <v>24</v>
      </c>
    </row>
    <row r="24" spans="1:6" x14ac:dyDescent="0.2">
      <c r="A24" s="1">
        <f>1/(1+EXP(-A22))</f>
        <v>0.82920451797762562</v>
      </c>
      <c r="B24" s="2">
        <f>1/(1+EXP(-B22))</f>
        <v>0.85195280196831058</v>
      </c>
      <c r="C24" s="1">
        <f>1/(1+EXP(-C22))</f>
        <v>0.87313689059838373</v>
      </c>
      <c r="D24" s="1">
        <f>0.5*(D22 - C24)^2</f>
        <v>2.6745023831999718E-3</v>
      </c>
      <c r="E24" s="2">
        <f>E8 + 0.1 * B7 * A24 * (1 - A24) * E18 * F22</f>
        <v>0.59997074282425833</v>
      </c>
    </row>
  </sheetData>
  <mergeCells count="1">
    <mergeCell ref="A1:E1"/>
  </mergeCell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Dhandharia</dc:creator>
  <cp:lastModifiedBy>Ankit Dhandharia</cp:lastModifiedBy>
  <dcterms:created xsi:type="dcterms:W3CDTF">2025-05-11T16:46:50Z</dcterms:created>
  <dcterms:modified xsi:type="dcterms:W3CDTF">2025-05-13T00:23:21Z</dcterms:modified>
</cp:coreProperties>
</file>