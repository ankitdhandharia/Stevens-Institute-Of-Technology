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itdhandharia/Downloads/Final_Exam_Ankit_Dhandharia_20033225/"/>
    </mc:Choice>
  </mc:AlternateContent>
  <xr:revisionPtr revIDLastSave="0" documentId="13_ncr:1_{864EEC4C-DFFE-C64E-B043-C7182A97BEB8}" xr6:coauthVersionLast="47" xr6:coauthVersionMax="47" xr10:uidLastSave="{00000000-0000-0000-0000-000000000000}"/>
  <bookViews>
    <workbookView xWindow="14600" yWindow="500" windowWidth="14200" windowHeight="16280" xr2:uid="{E7654594-25C6-EC49-9EA7-6A15F596E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G25" i="1"/>
  <c r="I25" i="1" s="1"/>
  <c r="H24" i="1"/>
  <c r="G24" i="1"/>
  <c r="H23" i="1"/>
  <c r="G23" i="1"/>
  <c r="H17" i="1"/>
  <c r="G17" i="1"/>
  <c r="H16" i="1"/>
  <c r="G16" i="1"/>
  <c r="I16" i="1" s="1"/>
  <c r="H15" i="1"/>
  <c r="G15" i="1"/>
  <c r="G7" i="1"/>
  <c r="G6" i="1"/>
  <c r="I23" i="1" l="1"/>
  <c r="I24" i="1"/>
  <c r="J24" i="1" s="1"/>
  <c r="I17" i="1"/>
  <c r="J17" i="1" s="1"/>
  <c r="K23" i="1"/>
  <c r="J23" i="1"/>
  <c r="L23" i="1" s="1"/>
  <c r="K16" i="1"/>
  <c r="K24" i="1"/>
  <c r="J25" i="1"/>
  <c r="L25" i="1" s="1"/>
  <c r="K25" i="1"/>
  <c r="I15" i="1"/>
  <c r="J15" i="1" s="1"/>
  <c r="K15" i="1"/>
  <c r="G8" i="1"/>
  <c r="J16" i="1"/>
  <c r="L16" i="1" l="1"/>
  <c r="L24" i="1"/>
  <c r="L15" i="1"/>
  <c r="K17" i="1"/>
  <c r="L17" i="1" s="1"/>
  <c r="M15" i="1"/>
  <c r="M24" i="1"/>
  <c r="M23" i="1"/>
  <c r="M17" i="1"/>
  <c r="M16" i="1"/>
  <c r="M25" i="1"/>
  <c r="G9" i="1"/>
  <c r="G10" i="1"/>
  <c r="G26" i="1" l="1"/>
  <c r="G18" i="1"/>
  <c r="G11" i="1"/>
  <c r="G27" i="1" l="1"/>
  <c r="G32" i="1" s="1"/>
  <c r="G19" i="1"/>
  <c r="G31" i="1" s="1"/>
</calcChain>
</file>

<file path=xl/sharedStrings.xml><?xml version="1.0" encoding="utf-8"?>
<sst xmlns="http://schemas.openxmlformats.org/spreadsheetml/2006/main" count="73" uniqueCount="33">
  <si>
    <t>Applicant</t>
  </si>
  <si>
    <t>GRE</t>
  </si>
  <si>
    <t>GPA</t>
  </si>
  <si>
    <t>Admitted</t>
  </si>
  <si>
    <t>Medium</t>
  </si>
  <si>
    <t>Low</t>
  </si>
  <si>
    <t>High</t>
  </si>
  <si>
    <t>Yes</t>
  </si>
  <si>
    <t>No</t>
  </si>
  <si>
    <t>Total Entropy Calculation</t>
  </si>
  <si>
    <t>Admitted Count</t>
  </si>
  <si>
    <t>Not Admitted Count</t>
  </si>
  <si>
    <t>Total Count</t>
  </si>
  <si>
    <t>P(Yes)</t>
  </si>
  <si>
    <t>P(No)</t>
  </si>
  <si>
    <t>Total Entropy</t>
  </si>
  <si>
    <t>GRE Analysis</t>
  </si>
  <si>
    <t>Level</t>
  </si>
  <si>
    <t>Yes Count</t>
  </si>
  <si>
    <t>No Count</t>
  </si>
  <si>
    <t>Total</t>
  </si>
  <si>
    <t>Entropy</t>
  </si>
  <si>
    <t>Weight</t>
  </si>
  <si>
    <t>Weighted Entropy</t>
  </si>
  <si>
    <t>Information Gain</t>
  </si>
  <si>
    <t>GPA Analysis</t>
  </si>
  <si>
    <t>Summary</t>
  </si>
  <si>
    <t>Attribute</t>
  </si>
  <si>
    <t>.</t>
  </si>
  <si>
    <t xml:space="preserve">Name: </t>
  </si>
  <si>
    <t>Ankit BhagwatiPrasad Dhandharia</t>
  </si>
  <si>
    <t>CWID:</t>
  </si>
  <si>
    <t>Question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</si>
</sst>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0000"/>
      <name val="-webkit-standard"/>
    </font>
    <font>
      <b/>
      <sz val="12"/>
      <color theme="1"/>
      <name val="Aptos Narrow"/>
      <scheme val="minor"/>
    </font>
    <font>
      <b/>
      <sz val="24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eading 3" xfId="1" builtinId="18"/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1A320E-1F8D-3D48-8BCC-A4F919178F92}" name="Table4" displayName="Table4" ref="F14:M19" totalsRowShown="0">
  <autoFilter ref="F14:M19" xr:uid="{6C1A320E-1F8D-3D48-8BCC-A4F919178F92}"/>
  <tableColumns count="8">
    <tableColumn id="1" xr3:uid="{C0D839EA-DEAE-DD4B-9A6B-D50E619501CB}" name="Level" dataDxfId="7"/>
    <tableColumn id="2" xr3:uid="{5E8F1E84-46F7-2D45-8440-E0C8AC26825E}" name="Yes Count"/>
    <tableColumn id="3" xr3:uid="{24B15B40-122F-2049-8AF1-98DA14990F67}" name="No Count"/>
    <tableColumn id="4" xr3:uid="{83BEFE61-4364-CC45-A3FE-D30ED6151283}" name="Total"/>
    <tableColumn id="5" xr3:uid="{7225336A-C328-3645-8803-B8851B622ECA}" name="P(Yes)"/>
    <tableColumn id="6" xr3:uid="{177AE7C9-752C-454E-A269-1CCE6C3EA52E}" name="P(No)"/>
    <tableColumn id="7" xr3:uid="{E0BD4B05-2E91-BB4D-8400-F8647114C01F}" name="Entropy"/>
    <tableColumn id="8" xr3:uid="{F1B74CA0-1812-CB47-9C99-2D3508C333A2}" name="Weight" dataDxfId="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6E149E-E615-8D45-8282-C327C2D39705}" name="Table5" displayName="Table5" ref="F22:M27" totalsRowShown="0">
  <autoFilter ref="F22:M27" xr:uid="{166E149E-E615-8D45-8282-C327C2D39705}"/>
  <tableColumns count="8">
    <tableColumn id="1" xr3:uid="{58F026BC-6082-F047-A29A-F19ED4AB9267}" name="Level" dataDxfId="5"/>
    <tableColumn id="2" xr3:uid="{B54C64A2-A93E-FB4B-8377-B8D7E667D516}" name="Yes Count"/>
    <tableColumn id="3" xr3:uid="{700D2DE5-A1CC-AE47-A7A9-75F8A43C77CD}" name="No Count"/>
    <tableColumn id="4" xr3:uid="{18A8B1A9-15B9-4442-AA8E-9CF970939C2F}" name="Total"/>
    <tableColumn id="5" xr3:uid="{8B1BFD71-2C2D-A840-BD34-BC44FE5DC659}" name="P(Yes)"/>
    <tableColumn id="6" xr3:uid="{872BF94B-D451-424D-B07A-59D1A6390DC5}" name="P(No)"/>
    <tableColumn id="7" xr3:uid="{ED843D8D-9BED-A746-B7EF-35DBAE30619F}" name="Entropy"/>
    <tableColumn id="8" xr3:uid="{2710C626-3663-E542-ABE4-48349CB75840}" name="Weight" dataDxfId="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DF933C-C362-A64D-B145-FD723EB19F0A}" name="Table6" displayName="Table6" ref="F30:G32" totalsRowShown="0">
  <autoFilter ref="F30:G32" xr:uid="{7BDF933C-C362-A64D-B145-FD723EB19F0A}"/>
  <tableColumns count="2">
    <tableColumn id="1" xr3:uid="{9B6E020E-D20B-214F-BC23-4C23EC91EDEF}" name="Attribute" dataDxfId="3"/>
    <tableColumn id="2" xr3:uid="{4BCD15F9-7699-0746-B292-988826138A31}" name="Information Gain" dataDxfId="2">
      <calculatedColumnFormula>G26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EBC7A1-4DC5-BB49-BFC4-B1908FD2DD8F}" name="Table8" displayName="Table8" ref="F5:G11" totalsRowShown="0">
  <autoFilter ref="F5:G11" xr:uid="{85EBC7A1-4DC5-BB49-BFC4-B1908FD2DD8F}"/>
  <tableColumns count="2">
    <tableColumn id="1" xr3:uid="{5D1CD458-C243-A14F-86E4-D80EDF6B2280}" name="Total Entropy Calculation" dataDxfId="1"/>
    <tableColumn id="2" xr3:uid="{B8AFA36E-AFE5-F24C-8569-8D26ADFB1B83}" name="." dataDxfId="0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770C6A-3850-0841-B168-35D91AC8B2D9}" name="Table10" displayName="Table10" ref="A5:D13" totalsRowShown="0">
  <autoFilter ref="A5:D13" xr:uid="{11770C6A-3850-0841-B168-35D91AC8B2D9}"/>
  <tableColumns count="4">
    <tableColumn id="1" xr3:uid="{18F95F1D-B7FD-BE42-A82A-BFA3A57EE311}" name="Applicant"/>
    <tableColumn id="2" xr3:uid="{9C7B4AC4-70E0-3D44-9BAF-BF6F0027C16E}" name="GRE"/>
    <tableColumn id="3" xr3:uid="{EF6DDD7E-23CC-CF4E-B6F6-420E8E019B2A}" name="GPA"/>
    <tableColumn id="4" xr3:uid="{7BCEA340-3BF7-5848-A73D-327C2130C10E}" name="Admitte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4E0B-136E-D34B-A9D2-9D93F0E201BA}">
  <dimension ref="A1:M32"/>
  <sheetViews>
    <sheetView tabSelected="1" workbookViewId="0">
      <selection activeCell="B2" sqref="B2"/>
    </sheetView>
  </sheetViews>
  <sheetFormatPr baseColWidth="10" defaultRowHeight="16"/>
  <cols>
    <col min="1" max="1" width="11.1640625" customWidth="1"/>
    <col min="6" max="6" width="23.83203125" customWidth="1"/>
    <col min="7" max="7" width="17" customWidth="1"/>
    <col min="8" max="8" width="11.1640625" customWidth="1"/>
  </cols>
  <sheetData>
    <row r="1" spans="1:13" ht="32">
      <c r="B1" s="4" t="s">
        <v>32</v>
      </c>
      <c r="C1" s="5"/>
      <c r="D1" s="5"/>
      <c r="E1" s="5"/>
      <c r="F1" s="5"/>
    </row>
    <row r="2" spans="1:13">
      <c r="C2" s="2" t="s">
        <v>29</v>
      </c>
      <c r="D2" t="s">
        <v>30</v>
      </c>
    </row>
    <row r="3" spans="1:13">
      <c r="C3" s="2" t="s">
        <v>31</v>
      </c>
      <c r="D3">
        <v>20033031</v>
      </c>
    </row>
    <row r="4" spans="1:13">
      <c r="C4" s="2"/>
    </row>
    <row r="5" spans="1:13">
      <c r="A5" t="s">
        <v>0</v>
      </c>
      <c r="B5" t="s">
        <v>1</v>
      </c>
      <c r="C5" t="s">
        <v>2</v>
      </c>
      <c r="D5" t="s">
        <v>3</v>
      </c>
      <c r="F5" t="s">
        <v>9</v>
      </c>
      <c r="G5" t="s">
        <v>28</v>
      </c>
    </row>
    <row r="6" spans="1:13">
      <c r="A6">
        <v>1</v>
      </c>
      <c r="B6" t="s">
        <v>4</v>
      </c>
      <c r="C6" t="s">
        <v>6</v>
      </c>
      <c r="D6" t="s">
        <v>7</v>
      </c>
      <c r="F6" s="2" t="s">
        <v>10</v>
      </c>
      <c r="G6" s="2">
        <f>COUNTIF(D6:D13,"Yes")</f>
        <v>4</v>
      </c>
    </row>
    <row r="7" spans="1:13">
      <c r="A7">
        <v>2</v>
      </c>
      <c r="B7" t="s">
        <v>5</v>
      </c>
      <c r="C7" t="s">
        <v>5</v>
      </c>
      <c r="D7" t="s">
        <v>8</v>
      </c>
      <c r="F7" s="2" t="s">
        <v>11</v>
      </c>
      <c r="G7" s="2">
        <f>COUNTIF(D6:D13,"No")</f>
        <v>4</v>
      </c>
    </row>
    <row r="8" spans="1:13">
      <c r="A8">
        <v>3</v>
      </c>
      <c r="B8" t="s">
        <v>6</v>
      </c>
      <c r="C8" t="s">
        <v>4</v>
      </c>
      <c r="D8" t="s">
        <v>7</v>
      </c>
      <c r="F8" s="2" t="s">
        <v>12</v>
      </c>
      <c r="G8" s="2">
        <f>G6+G7</f>
        <v>8</v>
      </c>
    </row>
    <row r="9" spans="1:13">
      <c r="A9">
        <v>4</v>
      </c>
      <c r="B9" t="s">
        <v>4</v>
      </c>
      <c r="C9" t="s">
        <v>4</v>
      </c>
      <c r="D9" t="s">
        <v>8</v>
      </c>
      <c r="F9" s="2" t="s">
        <v>13</v>
      </c>
      <c r="G9" s="2">
        <f>G6/G8</f>
        <v>0.5</v>
      </c>
    </row>
    <row r="10" spans="1:13">
      <c r="A10">
        <v>5</v>
      </c>
      <c r="B10" t="s">
        <v>5</v>
      </c>
      <c r="C10" t="s">
        <v>4</v>
      </c>
      <c r="D10" t="s">
        <v>8</v>
      </c>
      <c r="F10" s="2" t="s">
        <v>14</v>
      </c>
      <c r="G10" s="2">
        <f>G7/G8</f>
        <v>0.5</v>
      </c>
    </row>
    <row r="11" spans="1:13">
      <c r="A11">
        <v>6</v>
      </c>
      <c r="B11" t="s">
        <v>6</v>
      </c>
      <c r="C11" t="s">
        <v>6</v>
      </c>
      <c r="D11" t="s">
        <v>7</v>
      </c>
      <c r="F11" s="2" t="s">
        <v>15</v>
      </c>
      <c r="G11" s="2">
        <f>IF(G9=0,0,-G9*LOG(G9,2))+IF(G10=0,0,-G10*LOG(G10,2))</f>
        <v>1</v>
      </c>
    </row>
    <row r="12" spans="1:13">
      <c r="A12">
        <v>7</v>
      </c>
      <c r="B12" t="s">
        <v>5</v>
      </c>
      <c r="C12" t="s">
        <v>5</v>
      </c>
      <c r="D12" t="s">
        <v>8</v>
      </c>
    </row>
    <row r="13" spans="1:13" ht="17" thickBot="1">
      <c r="A13">
        <v>8</v>
      </c>
      <c r="B13" t="s">
        <v>4</v>
      </c>
      <c r="C13" t="s">
        <v>4</v>
      </c>
      <c r="D13" t="s">
        <v>7</v>
      </c>
      <c r="F13" s="3" t="s">
        <v>16</v>
      </c>
    </row>
    <row r="14" spans="1:13" ht="18">
      <c r="A14" s="1"/>
      <c r="F14" t="s">
        <v>17</v>
      </c>
      <c r="G14" t="s">
        <v>18</v>
      </c>
      <c r="H14" t="s">
        <v>19</v>
      </c>
      <c r="I14" t="s">
        <v>20</v>
      </c>
      <c r="J14" t="s">
        <v>13</v>
      </c>
      <c r="K14" t="s">
        <v>14</v>
      </c>
      <c r="L14" t="s">
        <v>21</v>
      </c>
      <c r="M14" t="s">
        <v>22</v>
      </c>
    </row>
    <row r="15" spans="1:13" ht="18">
      <c r="A15" s="1"/>
      <c r="F15" s="2" t="s">
        <v>5</v>
      </c>
      <c r="G15">
        <f>COUNTIFS(B6:B13,"Low",D6:D13,"Yes")</f>
        <v>0</v>
      </c>
      <c r="H15">
        <f>COUNTIFS(B6:B13,"Low",D6:D13,"No")</f>
        <v>3</v>
      </c>
      <c r="I15">
        <f>G15+H15</f>
        <v>3</v>
      </c>
      <c r="J15">
        <f>IF(I15=0,0,G15/I15)</f>
        <v>0</v>
      </c>
      <c r="K15">
        <f>IF(I15=0,0,H15/I15)</f>
        <v>1</v>
      </c>
      <c r="L15">
        <f>IF(I15=0,0,IF(J15=0,0,-J15*LOG(J15,2))+IF(K15=0,0,-K15*LOG(K15,2)))</f>
        <v>0</v>
      </c>
      <c r="M15" s="2">
        <f>I15/$G$8</f>
        <v>0.375</v>
      </c>
    </row>
    <row r="16" spans="1:13" ht="18">
      <c r="A16" s="1"/>
      <c r="F16" s="2" t="s">
        <v>4</v>
      </c>
      <c r="G16">
        <f>COUNTIFS(B6:B13,"Medium",D6:D13,"Yes")</f>
        <v>2</v>
      </c>
      <c r="H16">
        <f>COUNTIFS(B6:B13,"Medium",D6:D13,"No")</f>
        <v>1</v>
      </c>
      <c r="I16">
        <f t="shared" ref="I16:I17" si="0">G16+H16</f>
        <v>3</v>
      </c>
      <c r="J16">
        <f>IF(I16=0,0,G16/I16)</f>
        <v>0.66666666666666663</v>
      </c>
      <c r="K16">
        <f>IF(I16=0,0,H16/I16)</f>
        <v>0.33333333333333331</v>
      </c>
      <c r="L16">
        <f>IF(I16=0,0,IF(J16=0,0,-J16*LOG(J16,2))+IF(K16=0,0,-K16*LOG(K16,2)))</f>
        <v>0.91829583405448956</v>
      </c>
      <c r="M16" s="2">
        <f>I16/$G$8</f>
        <v>0.375</v>
      </c>
    </row>
    <row r="17" spans="1:13" ht="18">
      <c r="A17" s="1"/>
      <c r="F17" s="2" t="s">
        <v>6</v>
      </c>
      <c r="G17">
        <f>COUNTIFS(B6:B13,"High",D6:D13,"Yes")</f>
        <v>2</v>
      </c>
      <c r="H17">
        <f>COUNTIFS(B6:B13,"High",D6:D13,"No")</f>
        <v>0</v>
      </c>
      <c r="I17">
        <f t="shared" si="0"/>
        <v>2</v>
      </c>
      <c r="J17">
        <f>IF(I17=0,0,G17/I17)</f>
        <v>1</v>
      </c>
      <c r="K17">
        <f>IF(I17=0,0,H17/I17)</f>
        <v>0</v>
      </c>
      <c r="L17">
        <f>IF(I17=0,0,IF(J17=0,0,-J17*LOG(J17,2))+IF(K17=0,0,-K17*LOG(K17,2)))</f>
        <v>0</v>
      </c>
      <c r="M17" s="2">
        <f>I17/$G$8</f>
        <v>0.25</v>
      </c>
    </row>
    <row r="18" spans="1:13" ht="18">
      <c r="A18" s="1"/>
      <c r="F18" s="2" t="s">
        <v>23</v>
      </c>
      <c r="G18" s="2">
        <f>SUMPRODUCT(M15:M17,L15:L17)</f>
        <v>0.34436093777043358</v>
      </c>
      <c r="M18" s="2"/>
    </row>
    <row r="19" spans="1:13">
      <c r="F19" s="2" t="s">
        <v>24</v>
      </c>
      <c r="G19" s="2">
        <f>G11-G18</f>
        <v>0.65563906222956647</v>
      </c>
      <c r="M19" s="2"/>
    </row>
    <row r="21" spans="1:13" ht="17" thickBot="1">
      <c r="F21" s="3" t="s">
        <v>25</v>
      </c>
    </row>
    <row r="22" spans="1:13">
      <c r="F22" t="s">
        <v>17</v>
      </c>
      <c r="G22" t="s">
        <v>18</v>
      </c>
      <c r="H22" t="s">
        <v>19</v>
      </c>
      <c r="I22" t="s">
        <v>20</v>
      </c>
      <c r="J22" t="s">
        <v>13</v>
      </c>
      <c r="K22" t="s">
        <v>14</v>
      </c>
      <c r="L22" t="s">
        <v>21</v>
      </c>
      <c r="M22" t="s">
        <v>22</v>
      </c>
    </row>
    <row r="23" spans="1:13">
      <c r="F23" s="2" t="s">
        <v>5</v>
      </c>
      <c r="G23">
        <f>COUNTIFS(C6:C13,"Low",D6:D13,"Yes")</f>
        <v>0</v>
      </c>
      <c r="H23">
        <f>COUNTIFS(C6:C13,"Low",D6:D13,"No")</f>
        <v>2</v>
      </c>
      <c r="I23">
        <f>G23+H23</f>
        <v>2</v>
      </c>
      <c r="J23">
        <f>IF(I23=0,0,G23/I23)</f>
        <v>0</v>
      </c>
      <c r="K23">
        <f>IF(I23=0,0,H23/I23)</f>
        <v>1</v>
      </c>
      <c r="L23">
        <f>IF(I23=0,0,IF(J23=0,0,-J23*LOG(J23,2))+IF(K23=0,0,-K23*LOG(K23,2)))</f>
        <v>0</v>
      </c>
      <c r="M23" s="2">
        <f>I23/$G$8</f>
        <v>0.25</v>
      </c>
    </row>
    <row r="24" spans="1:13">
      <c r="F24" s="2" t="s">
        <v>4</v>
      </c>
      <c r="G24">
        <f>COUNTIFS(C6:C13,"Medium",D6:D13,"Yes")</f>
        <v>2</v>
      </c>
      <c r="H24">
        <f>COUNTIFS(C6:C13,"Medium",D6:D13,"No")</f>
        <v>2</v>
      </c>
      <c r="I24">
        <f>G24+H24</f>
        <v>4</v>
      </c>
      <c r="J24">
        <f>IF(I24=0,0,G24/I24)</f>
        <v>0.5</v>
      </c>
      <c r="K24">
        <f>IF(I24=0,0,H24/I24)</f>
        <v>0.5</v>
      </c>
      <c r="L24">
        <f>IF(I24=0,0,IF(J24=0,0,-J24*LOG(J24,2))+IF(K24=0,0,-K24*LOG(K24,2)))</f>
        <v>1</v>
      </c>
      <c r="M24" s="2">
        <f>I24/$G$8</f>
        <v>0.5</v>
      </c>
    </row>
    <row r="25" spans="1:13">
      <c r="F25" s="2" t="s">
        <v>6</v>
      </c>
      <c r="G25">
        <f>COUNTIFS(C6:C13,"High",D6:D13,"Yes")</f>
        <v>2</v>
      </c>
      <c r="H25">
        <f>COUNTIFS(C6:C13,"High",D6:D13,"No")</f>
        <v>0</v>
      </c>
      <c r="I25">
        <f>G25+H25</f>
        <v>2</v>
      </c>
      <c r="J25">
        <f>IF(I25=0,0,G25/I25)</f>
        <v>1</v>
      </c>
      <c r="K25">
        <f>IF(I25=0,0,H25/I25)</f>
        <v>0</v>
      </c>
      <c r="L25">
        <f>IF(I25=0,0,IF(J25=0,0,-J25*LOG(J25,2))+IF(K25=0,0,-K25*LOG(K25,2)))</f>
        <v>0</v>
      </c>
      <c r="M25" s="2">
        <f>I25/$G$8</f>
        <v>0.25</v>
      </c>
    </row>
    <row r="26" spans="1:13">
      <c r="F26" s="2" t="s">
        <v>23</v>
      </c>
      <c r="G26" s="2">
        <f>SUMPRODUCT(M23:M25,L23:L25)</f>
        <v>0.5</v>
      </c>
      <c r="M26" s="2"/>
    </row>
    <row r="27" spans="1:13">
      <c r="F27" s="2" t="s">
        <v>24</v>
      </c>
      <c r="G27" s="2">
        <f>G11-G26</f>
        <v>0.5</v>
      </c>
      <c r="M27" s="2"/>
    </row>
    <row r="29" spans="1:13" ht="17" thickBot="1">
      <c r="F29" s="3" t="s">
        <v>26</v>
      </c>
    </row>
    <row r="30" spans="1:13">
      <c r="F30" t="s">
        <v>27</v>
      </c>
      <c r="G30" t="s">
        <v>24</v>
      </c>
    </row>
    <row r="31" spans="1:13">
      <c r="F31" s="2" t="s">
        <v>1</v>
      </c>
      <c r="G31" s="2">
        <f>G19</f>
        <v>0.65563906222956647</v>
      </c>
    </row>
    <row r="32" spans="1:13">
      <c r="F32" s="2" t="s">
        <v>2</v>
      </c>
      <c r="G32" s="2">
        <f>G27</f>
        <v>0.5</v>
      </c>
    </row>
  </sheetData>
  <mergeCells count="1">
    <mergeCell ref="B1:F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Dhandharia</dc:creator>
  <cp:lastModifiedBy>Ankit Dhandharia</cp:lastModifiedBy>
  <dcterms:created xsi:type="dcterms:W3CDTF">2025-05-11T17:03:11Z</dcterms:created>
  <dcterms:modified xsi:type="dcterms:W3CDTF">2025-05-13T00:24:19Z</dcterms:modified>
</cp:coreProperties>
</file>