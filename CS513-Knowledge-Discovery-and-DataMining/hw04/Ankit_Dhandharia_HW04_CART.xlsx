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dhandharia/Documents/"/>
    </mc:Choice>
  </mc:AlternateContent>
  <xr:revisionPtr revIDLastSave="0" documentId="13_ncr:1_{B6BB0F9E-1EC5-EE43-8341-9BC587D5DE88}" xr6:coauthVersionLast="47" xr6:coauthVersionMax="47" xr10:uidLastSave="{00000000-0000-0000-0000-000000000000}"/>
  <bookViews>
    <workbookView xWindow="4340" yWindow="1000" windowWidth="24460" windowHeight="15680" xr2:uid="{0FD4E10F-8B44-BB45-8391-AE9ACEBBA326}"/>
  </bookViews>
  <sheets>
    <sheet name="Table" sheetId="1" r:id="rId1"/>
    <sheet name="Department" sheetId="2" r:id="rId2"/>
    <sheet name="Age" sheetId="3" r:id="rId3"/>
    <sheet name="Gende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F13" i="3"/>
  <c r="E13" i="3"/>
  <c r="F12" i="3"/>
  <c r="E12" i="3"/>
  <c r="F11" i="3"/>
  <c r="E11" i="3"/>
  <c r="H10" i="3"/>
  <c r="F10" i="3"/>
  <c r="C10" i="3"/>
  <c r="B10" i="3"/>
  <c r="G10" i="3" s="1"/>
  <c r="I10" i="3" s="1"/>
  <c r="F9" i="3"/>
  <c r="E9" i="3"/>
  <c r="F8" i="3"/>
  <c r="E8" i="3"/>
  <c r="F7" i="3"/>
  <c r="E7" i="3"/>
  <c r="G6" i="3"/>
  <c r="F6" i="3"/>
  <c r="E6" i="3"/>
  <c r="H6" i="3" s="1"/>
  <c r="C6" i="3"/>
  <c r="B6" i="3"/>
  <c r="F5" i="3"/>
  <c r="E5" i="3"/>
  <c r="F4" i="3"/>
  <c r="E4" i="3"/>
  <c r="F3" i="3"/>
  <c r="E3" i="3"/>
  <c r="F2" i="3"/>
  <c r="E2" i="3"/>
  <c r="H2" i="3" s="1"/>
  <c r="B2" i="3"/>
  <c r="G2" i="3" s="1"/>
  <c r="F9" i="4"/>
  <c r="E9" i="4"/>
  <c r="F8" i="4"/>
  <c r="E8" i="4"/>
  <c r="F7" i="4"/>
  <c r="E7" i="4"/>
  <c r="H6" i="4" s="1"/>
  <c r="F6" i="4"/>
  <c r="E6" i="4"/>
  <c r="C6" i="4"/>
  <c r="B6" i="4"/>
  <c r="G6" i="4" s="1"/>
  <c r="F5" i="4"/>
  <c r="E5" i="4"/>
  <c r="F4" i="4"/>
  <c r="E4" i="4"/>
  <c r="F3" i="4"/>
  <c r="E3" i="4"/>
  <c r="G2" i="4"/>
  <c r="F2" i="4"/>
  <c r="E2" i="4"/>
  <c r="H2" i="4" s="1"/>
  <c r="C2" i="4"/>
  <c r="B2" i="4"/>
  <c r="F17" i="2"/>
  <c r="F16" i="2"/>
  <c r="F15" i="2"/>
  <c r="E15" i="2"/>
  <c r="F14" i="2"/>
  <c r="H14" i="2" s="1"/>
  <c r="E14" i="2"/>
  <c r="B14" i="2"/>
  <c r="C14" i="2" s="1"/>
  <c r="F13" i="2"/>
  <c r="F12" i="2"/>
  <c r="E12" i="2"/>
  <c r="F11" i="2"/>
  <c r="E11" i="2"/>
  <c r="F10" i="2"/>
  <c r="H10" i="2" s="1"/>
  <c r="C10" i="2"/>
  <c r="G10" i="2" s="1"/>
  <c r="I10" i="2" s="1"/>
  <c r="B10" i="2"/>
  <c r="F9" i="2"/>
  <c r="E9" i="2"/>
  <c r="F8" i="2"/>
  <c r="E8" i="2"/>
  <c r="F7" i="2"/>
  <c r="H6" i="2"/>
  <c r="F6" i="2"/>
  <c r="C6" i="2"/>
  <c r="G6" i="2" s="1"/>
  <c r="I6" i="2" s="1"/>
  <c r="B6" i="2"/>
  <c r="F5" i="2"/>
  <c r="E5" i="2"/>
  <c r="F4" i="2"/>
  <c r="E4" i="2"/>
  <c r="F3" i="2"/>
  <c r="E3" i="2"/>
  <c r="F2" i="2"/>
  <c r="E2" i="2"/>
  <c r="H2" i="2" s="1"/>
  <c r="C2" i="2"/>
  <c r="B2" i="2"/>
  <c r="G2" i="2" s="1"/>
  <c r="I2" i="3" l="1"/>
  <c r="I6" i="3"/>
  <c r="I6" i="4"/>
  <c r="I2" i="4"/>
  <c r="I2" i="2"/>
  <c r="G14" i="2"/>
  <c r="I14" i="2" s="1"/>
</calcChain>
</file>

<file path=xl/sharedStrings.xml><?xml version="1.0" encoding="utf-8"?>
<sst xmlns="http://schemas.openxmlformats.org/spreadsheetml/2006/main" count="103" uniqueCount="31">
  <si>
    <t>Occupation</t>
  </si>
  <si>
    <t>Gender</t>
  </si>
  <si>
    <t>Age</t>
  </si>
  <si>
    <t>Salary</t>
  </si>
  <si>
    <t>Service</t>
  </si>
  <si>
    <t>Female</t>
  </si>
  <si>
    <t>Male</t>
  </si>
  <si>
    <t>Management</t>
  </si>
  <si>
    <t>Sales</t>
  </si>
  <si>
    <t>Staff</t>
  </si>
  <si>
    <t>Split</t>
  </si>
  <si>
    <t>PL</t>
  </si>
  <si>
    <t>PR</t>
  </si>
  <si>
    <t>Level</t>
  </si>
  <si>
    <t>Age = &lt;30</t>
  </si>
  <si>
    <t>L1</t>
  </si>
  <si>
    <t>L2</t>
  </si>
  <si>
    <t>L3</t>
  </si>
  <si>
    <t>L4</t>
  </si>
  <si>
    <t>Age = &lt;40</t>
  </si>
  <si>
    <t>Age = &lt;50</t>
  </si>
  <si>
    <t>P(j/tL)</t>
  </si>
  <si>
    <t>P(j/tR)</t>
  </si>
  <si>
    <t>2PL*PR</t>
  </si>
  <si>
    <t>Q(s|t)</t>
  </si>
  <si>
    <t>ɸ(s|t)</t>
  </si>
  <si>
    <t>Assignment :</t>
  </si>
  <si>
    <t>HW04_CART</t>
  </si>
  <si>
    <t>Name:</t>
  </si>
  <si>
    <t>CWID:</t>
  </si>
  <si>
    <t>Ankit Dhandharia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</si>
</sst>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6" fontId="2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7256-E87C-F641-83DA-0D7A1C3FD4DB}">
  <dimension ref="A1:D15"/>
  <sheetViews>
    <sheetView tabSelected="1" workbookViewId="0">
      <selection activeCell="E6" sqref="E6"/>
    </sheetView>
  </sheetViews>
  <sheetFormatPr baseColWidth="10" defaultRowHeight="16" x14ac:dyDescent="0.2"/>
  <cols>
    <col min="1" max="1" width="13.1640625" bestFit="1" customWidth="1"/>
    <col min="2" max="2" width="8.1640625" bestFit="1" customWidth="1"/>
    <col min="3" max="3" width="5" bestFit="1" customWidth="1"/>
    <col min="4" max="4" width="9.33203125" bestFit="1" customWidth="1"/>
  </cols>
  <sheetData>
    <row r="1" spans="1:4" x14ac:dyDescent="0.2">
      <c r="A1" s="9" t="s">
        <v>26</v>
      </c>
      <c r="B1" s="8" t="s">
        <v>27</v>
      </c>
      <c r="C1" s="8"/>
      <c r="D1" s="8"/>
    </row>
    <row r="2" spans="1:4" x14ac:dyDescent="0.2">
      <c r="A2" s="9" t="s">
        <v>28</v>
      </c>
      <c r="B2" s="8" t="s">
        <v>30</v>
      </c>
      <c r="C2" s="8"/>
      <c r="D2" s="8"/>
    </row>
    <row r="3" spans="1:4" x14ac:dyDescent="0.2">
      <c r="A3" s="9" t="s">
        <v>29</v>
      </c>
      <c r="B3" s="8">
        <v>20033031</v>
      </c>
      <c r="C3" s="8"/>
      <c r="D3" s="8"/>
    </row>
    <row r="4" spans="1:4" x14ac:dyDescent="0.2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2">
      <c r="A5" s="2" t="s">
        <v>4</v>
      </c>
      <c r="B5" s="2" t="s">
        <v>5</v>
      </c>
      <c r="C5" s="2">
        <v>45</v>
      </c>
      <c r="D5" s="3">
        <v>48000</v>
      </c>
    </row>
    <row r="6" spans="1:4" x14ac:dyDescent="0.2">
      <c r="A6" s="2" t="s">
        <v>4</v>
      </c>
      <c r="B6" s="2" t="s">
        <v>6</v>
      </c>
      <c r="C6" s="2">
        <v>25</v>
      </c>
      <c r="D6" s="3">
        <v>25000</v>
      </c>
    </row>
    <row r="7" spans="1:4" x14ac:dyDescent="0.2">
      <c r="A7" s="2" t="s">
        <v>4</v>
      </c>
      <c r="B7" s="2" t="s">
        <v>6</v>
      </c>
      <c r="C7" s="2">
        <v>33</v>
      </c>
      <c r="D7" s="3">
        <v>35000</v>
      </c>
    </row>
    <row r="8" spans="1:4" x14ac:dyDescent="0.2">
      <c r="A8" s="2" t="s">
        <v>7</v>
      </c>
      <c r="B8" s="2" t="s">
        <v>6</v>
      </c>
      <c r="C8" s="2">
        <v>25</v>
      </c>
      <c r="D8" s="3">
        <v>45000</v>
      </c>
    </row>
    <row r="9" spans="1:4" x14ac:dyDescent="0.2">
      <c r="A9" s="2" t="s">
        <v>7</v>
      </c>
      <c r="B9" s="2" t="s">
        <v>5</v>
      </c>
      <c r="C9" s="2">
        <v>35</v>
      </c>
      <c r="D9" s="3">
        <v>65000</v>
      </c>
    </row>
    <row r="10" spans="1:4" x14ac:dyDescent="0.2">
      <c r="A10" s="2" t="s">
        <v>7</v>
      </c>
      <c r="B10" s="2" t="s">
        <v>6</v>
      </c>
      <c r="C10" s="2">
        <v>26</v>
      </c>
      <c r="D10" s="3">
        <v>45000</v>
      </c>
    </row>
    <row r="11" spans="1:4" x14ac:dyDescent="0.2">
      <c r="A11" s="2" t="s">
        <v>7</v>
      </c>
      <c r="B11" s="2" t="s">
        <v>5</v>
      </c>
      <c r="C11" s="2">
        <v>45</v>
      </c>
      <c r="D11" s="3">
        <v>70000</v>
      </c>
    </row>
    <row r="12" spans="1:4" x14ac:dyDescent="0.2">
      <c r="A12" s="2" t="s">
        <v>8</v>
      </c>
      <c r="B12" s="2" t="s">
        <v>5</v>
      </c>
      <c r="C12" s="2">
        <v>40</v>
      </c>
      <c r="D12" s="3">
        <v>50000</v>
      </c>
    </row>
    <row r="13" spans="1:4" x14ac:dyDescent="0.2">
      <c r="A13" s="2" t="s">
        <v>8</v>
      </c>
      <c r="B13" s="2" t="s">
        <v>6</v>
      </c>
      <c r="C13" s="2">
        <v>30</v>
      </c>
      <c r="D13" s="3">
        <v>40000</v>
      </c>
    </row>
    <row r="14" spans="1:4" x14ac:dyDescent="0.2">
      <c r="A14" s="2" t="s">
        <v>9</v>
      </c>
      <c r="B14" s="2" t="s">
        <v>5</v>
      </c>
      <c r="C14" s="2">
        <v>50</v>
      </c>
      <c r="D14" s="3">
        <v>40000</v>
      </c>
    </row>
    <row r="15" spans="1:4" x14ac:dyDescent="0.2">
      <c r="A15" s="2" t="s">
        <v>9</v>
      </c>
      <c r="B15" s="2" t="s">
        <v>6</v>
      </c>
      <c r="C15" s="2">
        <v>25</v>
      </c>
      <c r="D15" s="3">
        <v>25000</v>
      </c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3322-8CC6-7440-95B2-8E6AB497EFAC}">
  <dimension ref="A1:I17"/>
  <sheetViews>
    <sheetView workbookViewId="0">
      <selection activeCell="G26" sqref="G26"/>
    </sheetView>
  </sheetViews>
  <sheetFormatPr baseColWidth="10" defaultRowHeight="16" x14ac:dyDescent="0.2"/>
  <cols>
    <col min="1" max="1" width="13.1640625" bestFit="1" customWidth="1"/>
    <col min="2" max="3" width="8.6640625" style="7" bestFit="1" customWidth="1"/>
    <col min="4" max="4" width="6.33203125" bestFit="1" customWidth="1"/>
    <col min="5" max="9" width="14" bestFit="1" customWidth="1"/>
  </cols>
  <sheetData>
    <row r="1" spans="1:9" x14ac:dyDescent="0.2">
      <c r="A1" s="1" t="s">
        <v>10</v>
      </c>
      <c r="B1" s="5" t="s">
        <v>11</v>
      </c>
      <c r="C1" s="5" t="s">
        <v>12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">
      <c r="A2" s="2" t="s">
        <v>4</v>
      </c>
      <c r="B2" s="6">
        <f>(3/11)</f>
        <v>0.27272727272727271</v>
      </c>
      <c r="C2" s="6">
        <f>(1-B2)</f>
        <v>0.72727272727272729</v>
      </c>
      <c r="D2" s="2" t="s">
        <v>15</v>
      </c>
      <c r="E2" s="2">
        <f>1/3</f>
        <v>0.33333333333333331</v>
      </c>
      <c r="F2" s="2">
        <f>1/8</f>
        <v>0.125</v>
      </c>
      <c r="G2" s="2">
        <f>2*B2*C2</f>
        <v>0.39669421487603301</v>
      </c>
      <c r="H2" s="2">
        <f>SUM(ABS(E2-F2), ABS(E3-F3), ABS(E4-F4), ABS(E5-F5))</f>
        <v>0.58333333333333326</v>
      </c>
      <c r="I2" s="2">
        <f>G2*H2</f>
        <v>0.2314049586776859</v>
      </c>
    </row>
    <row r="3" spans="1:9" x14ac:dyDescent="0.2">
      <c r="A3" s="2"/>
      <c r="B3" s="6"/>
      <c r="C3" s="6"/>
      <c r="D3" s="2" t="s">
        <v>16</v>
      </c>
      <c r="E3" s="2">
        <f>1/3</f>
        <v>0.33333333333333331</v>
      </c>
      <c r="F3" s="2">
        <f>2/8</f>
        <v>0.25</v>
      </c>
      <c r="G3" s="2"/>
      <c r="H3" s="2"/>
      <c r="I3" s="2"/>
    </row>
    <row r="4" spans="1:9" x14ac:dyDescent="0.2">
      <c r="A4" s="2"/>
      <c r="B4" s="6"/>
      <c r="C4" s="6"/>
      <c r="D4" s="2" t="s">
        <v>17</v>
      </c>
      <c r="E4" s="2">
        <f>1/3</f>
        <v>0.33333333333333331</v>
      </c>
      <c r="F4" s="2">
        <f>3/8</f>
        <v>0.375</v>
      </c>
      <c r="G4" s="2"/>
      <c r="H4" s="2"/>
      <c r="I4" s="2"/>
    </row>
    <row r="5" spans="1:9" x14ac:dyDescent="0.2">
      <c r="A5" s="2"/>
      <c r="B5" s="6"/>
      <c r="C5" s="6"/>
      <c r="D5" s="2" t="s">
        <v>18</v>
      </c>
      <c r="E5" s="2">
        <f>0/3</f>
        <v>0</v>
      </c>
      <c r="F5" s="2">
        <f>2/8</f>
        <v>0.25</v>
      </c>
      <c r="G5" s="2"/>
      <c r="H5" s="2"/>
      <c r="I5" s="2"/>
    </row>
    <row r="6" spans="1:9" x14ac:dyDescent="0.2">
      <c r="A6" s="2" t="s">
        <v>7</v>
      </c>
      <c r="B6" s="6">
        <f>(4/11)</f>
        <v>0.36363636363636365</v>
      </c>
      <c r="C6" s="6">
        <f>(1-B6)</f>
        <v>0.63636363636363635</v>
      </c>
      <c r="D6" s="2" t="s">
        <v>15</v>
      </c>
      <c r="E6" s="2">
        <v>0</v>
      </c>
      <c r="F6" s="2">
        <f>2/7</f>
        <v>0.2857142857142857</v>
      </c>
      <c r="G6" s="2">
        <f t="shared" ref="G6:G14" si="0">2*B6*C6</f>
        <v>0.46280991735537191</v>
      </c>
      <c r="H6" s="2">
        <f t="shared" ref="H6:H14" si="1">SUM(ABS(E6-F6), ABS(E7-F7), ABS(E8-F8), ABS(E9-F9))</f>
        <v>1.4285714285714284</v>
      </c>
      <c r="I6" s="2">
        <f t="shared" ref="I6:I14" si="2">G6*H6</f>
        <v>0.66115702479338834</v>
      </c>
    </row>
    <row r="7" spans="1:9" x14ac:dyDescent="0.2">
      <c r="A7" s="2"/>
      <c r="B7" s="6"/>
      <c r="C7" s="6"/>
      <c r="D7" s="2" t="s">
        <v>16</v>
      </c>
      <c r="E7" s="2">
        <v>0</v>
      </c>
      <c r="F7" s="2">
        <f>3/7</f>
        <v>0.42857142857142855</v>
      </c>
      <c r="G7" s="2"/>
      <c r="H7" s="2"/>
      <c r="I7" s="2"/>
    </row>
    <row r="8" spans="1:9" x14ac:dyDescent="0.2">
      <c r="A8" s="2"/>
      <c r="B8" s="6"/>
      <c r="C8" s="6"/>
      <c r="D8" s="2" t="s">
        <v>17</v>
      </c>
      <c r="E8" s="2">
        <f>2/4</f>
        <v>0.5</v>
      </c>
      <c r="F8" s="2">
        <f>2/7</f>
        <v>0.2857142857142857</v>
      </c>
      <c r="G8" s="2"/>
      <c r="H8" s="2"/>
      <c r="I8" s="2"/>
    </row>
    <row r="9" spans="1:9" x14ac:dyDescent="0.2">
      <c r="A9" s="2"/>
      <c r="B9" s="6"/>
      <c r="C9" s="6"/>
      <c r="D9" s="2" t="s">
        <v>18</v>
      </c>
      <c r="E9" s="2">
        <f>2/4</f>
        <v>0.5</v>
      </c>
      <c r="F9" s="2">
        <f>0/7</f>
        <v>0</v>
      </c>
      <c r="G9" s="2"/>
      <c r="H9" s="2"/>
      <c r="I9" s="2"/>
    </row>
    <row r="10" spans="1:9" x14ac:dyDescent="0.2">
      <c r="A10" s="2" t="s">
        <v>8</v>
      </c>
      <c r="B10" s="6">
        <f>(2/11)</f>
        <v>0.18181818181818182</v>
      </c>
      <c r="C10" s="6">
        <f>(1-B10)</f>
        <v>0.81818181818181812</v>
      </c>
      <c r="D10" s="2" t="s">
        <v>15</v>
      </c>
      <c r="E10" s="2">
        <v>0</v>
      </c>
      <c r="F10" s="2">
        <f>2/9</f>
        <v>0.22222222222222221</v>
      </c>
      <c r="G10" s="2">
        <f t="shared" si="0"/>
        <v>0.2975206611570248</v>
      </c>
      <c r="H10" s="2">
        <f t="shared" si="1"/>
        <v>0.88888888888888895</v>
      </c>
      <c r="I10" s="2">
        <f t="shared" si="2"/>
        <v>0.26446280991735538</v>
      </c>
    </row>
    <row r="11" spans="1:9" x14ac:dyDescent="0.2">
      <c r="A11" s="2"/>
      <c r="B11" s="6"/>
      <c r="C11" s="6"/>
      <c r="D11" s="2" t="s">
        <v>16</v>
      </c>
      <c r="E11" s="2">
        <f>1/2</f>
        <v>0.5</v>
      </c>
      <c r="F11" s="2">
        <f>2/9</f>
        <v>0.22222222222222221</v>
      </c>
      <c r="G11" s="2"/>
      <c r="H11" s="2"/>
      <c r="I11" s="2"/>
    </row>
    <row r="12" spans="1:9" x14ac:dyDescent="0.2">
      <c r="A12" s="2"/>
      <c r="B12" s="6"/>
      <c r="C12" s="6"/>
      <c r="D12" s="2" t="s">
        <v>17</v>
      </c>
      <c r="E12" s="2">
        <f>1/2</f>
        <v>0.5</v>
      </c>
      <c r="F12" s="2">
        <f>3/9</f>
        <v>0.33333333333333331</v>
      </c>
      <c r="G12" s="2"/>
      <c r="H12" s="2"/>
      <c r="I12" s="2"/>
    </row>
    <row r="13" spans="1:9" x14ac:dyDescent="0.2">
      <c r="A13" s="2"/>
      <c r="B13" s="6"/>
      <c r="C13" s="6"/>
      <c r="D13" s="2" t="s">
        <v>18</v>
      </c>
      <c r="E13" s="2">
        <v>0</v>
      </c>
      <c r="F13" s="2">
        <f>2/9</f>
        <v>0.22222222222222221</v>
      </c>
      <c r="G13" s="2"/>
      <c r="H13" s="2"/>
      <c r="I13" s="2"/>
    </row>
    <row r="14" spans="1:9" x14ac:dyDescent="0.2">
      <c r="A14" s="2" t="s">
        <v>9</v>
      </c>
      <c r="B14" s="6">
        <f>(2/11)</f>
        <v>0.18181818181818182</v>
      </c>
      <c r="C14" s="6">
        <f>(1-B14)</f>
        <v>0.81818181818181812</v>
      </c>
      <c r="D14" s="2" t="s">
        <v>15</v>
      </c>
      <c r="E14" s="2">
        <f>1/2</f>
        <v>0.5</v>
      </c>
      <c r="F14" s="2">
        <f>1/9</f>
        <v>0.1111111111111111</v>
      </c>
      <c r="G14" s="2">
        <f t="shared" si="0"/>
        <v>0.2975206611570248</v>
      </c>
      <c r="H14" s="2">
        <f t="shared" si="1"/>
        <v>1.4444444444444446</v>
      </c>
      <c r="I14" s="2">
        <f t="shared" si="2"/>
        <v>0.42975206611570255</v>
      </c>
    </row>
    <row r="15" spans="1:9" x14ac:dyDescent="0.2">
      <c r="A15" s="2"/>
      <c r="B15" s="6"/>
      <c r="C15" s="6"/>
      <c r="D15" s="2" t="s">
        <v>16</v>
      </c>
      <c r="E15" s="2">
        <f>1/2</f>
        <v>0.5</v>
      </c>
      <c r="F15" s="2">
        <f>1/9</f>
        <v>0.1111111111111111</v>
      </c>
      <c r="G15" s="2"/>
      <c r="H15" s="2"/>
      <c r="I15" s="2"/>
    </row>
    <row r="16" spans="1:9" x14ac:dyDescent="0.2">
      <c r="A16" s="2"/>
      <c r="B16" s="6"/>
      <c r="C16" s="6"/>
      <c r="D16" s="2" t="s">
        <v>17</v>
      </c>
      <c r="E16" s="2">
        <v>0</v>
      </c>
      <c r="F16" s="2">
        <f>4/9</f>
        <v>0.44444444444444442</v>
      </c>
      <c r="G16" s="2"/>
      <c r="H16" s="2"/>
      <c r="I16" s="2"/>
    </row>
    <row r="17" spans="1:9" x14ac:dyDescent="0.2">
      <c r="A17" s="2"/>
      <c r="B17" s="6"/>
      <c r="C17" s="6"/>
      <c r="D17" s="2" t="s">
        <v>18</v>
      </c>
      <c r="E17" s="2">
        <v>0</v>
      </c>
      <c r="F17" s="2">
        <f>2/9</f>
        <v>0.22222222222222221</v>
      </c>
      <c r="G17" s="2"/>
      <c r="H17" s="2"/>
      <c r="I17" s="2"/>
    </row>
  </sheetData>
  <pageMargins left="0.7" right="0.7" top="0.75" bottom="0.75" header="0.3" footer="0.3"/>
  <ignoredErrors>
    <ignoredError sqref="F12 F7 F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C67C-F0FB-F044-9F88-DC46BB8C5A16}">
  <dimension ref="A1:I13"/>
  <sheetViews>
    <sheetView workbookViewId="0">
      <selection sqref="A1:XFD1048576"/>
    </sheetView>
  </sheetViews>
  <sheetFormatPr baseColWidth="10" defaultRowHeight="16" x14ac:dyDescent="0.2"/>
  <cols>
    <col min="1" max="1" width="10.5" bestFit="1" customWidth="1"/>
    <col min="2" max="3" width="14" bestFit="1" customWidth="1"/>
    <col min="4" max="4" width="6.33203125" bestFit="1" customWidth="1"/>
    <col min="5" max="9" width="14" bestFit="1" customWidth="1"/>
  </cols>
  <sheetData>
    <row r="1" spans="1:9" x14ac:dyDescent="0.2">
      <c r="A1" s="1" t="s">
        <v>10</v>
      </c>
      <c r="B1" s="4" t="s">
        <v>11</v>
      </c>
      <c r="C1" s="1" t="s">
        <v>12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">
      <c r="A2" s="2" t="s">
        <v>14</v>
      </c>
      <c r="B2" s="2">
        <f>5/11</f>
        <v>0.45454545454545453</v>
      </c>
      <c r="C2" s="2">
        <v>0.55000000000000004</v>
      </c>
      <c r="D2" s="2" t="s">
        <v>15</v>
      </c>
      <c r="E2" s="2">
        <f>2/5</f>
        <v>0.4</v>
      </c>
      <c r="F2" s="2">
        <f>0/6</f>
        <v>0</v>
      </c>
      <c r="G2" s="2">
        <f t="shared" ref="G2:G13" si="0" xml:space="preserve"> 2* B2 * C2</f>
        <v>0.5</v>
      </c>
      <c r="H2" s="2">
        <f t="shared" ref="H2:H13" si="1">SUM(ABS(E2-F2), ABS(E3-F3), ABS(E4-F4), ABS(E5-F5))</f>
        <v>0.93333333333333335</v>
      </c>
      <c r="I2" s="2">
        <f t="shared" ref="I2:I13" si="2">G2*H2</f>
        <v>0.46666666666666667</v>
      </c>
    </row>
    <row r="3" spans="1:9" x14ac:dyDescent="0.2">
      <c r="A3" s="2"/>
      <c r="B3" s="2"/>
      <c r="C3" s="2"/>
      <c r="D3" s="2" t="s">
        <v>16</v>
      </c>
      <c r="E3" s="2">
        <f>1/5</f>
        <v>0.2</v>
      </c>
      <c r="F3" s="2">
        <f>2/6</f>
        <v>0.33333333333333331</v>
      </c>
      <c r="G3" s="2"/>
      <c r="H3" s="2"/>
      <c r="I3" s="2"/>
    </row>
    <row r="4" spans="1:9" x14ac:dyDescent="0.2">
      <c r="A4" s="2"/>
      <c r="B4" s="2"/>
      <c r="C4" s="2"/>
      <c r="D4" s="2" t="s">
        <v>17</v>
      </c>
      <c r="E4" s="2">
        <f>2/5</f>
        <v>0.4</v>
      </c>
      <c r="F4" s="2">
        <f>2/6</f>
        <v>0.33333333333333331</v>
      </c>
      <c r="G4" s="2"/>
      <c r="H4" s="2"/>
      <c r="I4" s="2"/>
    </row>
    <row r="5" spans="1:9" x14ac:dyDescent="0.2">
      <c r="A5" s="2"/>
      <c r="B5" s="2"/>
      <c r="C5" s="2"/>
      <c r="D5" s="2" t="s">
        <v>18</v>
      </c>
      <c r="E5" s="2">
        <f>0/5</f>
        <v>0</v>
      </c>
      <c r="F5" s="2">
        <f>2/6</f>
        <v>0.33333333333333331</v>
      </c>
      <c r="G5" s="2"/>
      <c r="H5" s="2"/>
      <c r="I5" s="2"/>
    </row>
    <row r="6" spans="1:9" x14ac:dyDescent="0.2">
      <c r="A6" s="2" t="s">
        <v>19</v>
      </c>
      <c r="B6" s="2">
        <f>3/11</f>
        <v>0.27272727272727271</v>
      </c>
      <c r="C6" s="2">
        <f>8/11</f>
        <v>0.72727272727272729</v>
      </c>
      <c r="D6" s="2" t="s">
        <v>15</v>
      </c>
      <c r="E6" s="2">
        <f>0/3</f>
        <v>0</v>
      </c>
      <c r="F6" s="2">
        <f>2/8</f>
        <v>0.25</v>
      </c>
      <c r="G6" s="2">
        <f t="shared" si="0"/>
        <v>0.39669421487603301</v>
      </c>
      <c r="H6" s="2">
        <f t="shared" si="1"/>
        <v>0.58333333333333326</v>
      </c>
      <c r="I6" s="2">
        <f t="shared" si="2"/>
        <v>0.2314049586776859</v>
      </c>
    </row>
    <row r="7" spans="1:9" x14ac:dyDescent="0.2">
      <c r="A7" s="2"/>
      <c r="B7" s="2"/>
      <c r="C7" s="2"/>
      <c r="D7" s="2" t="s">
        <v>16</v>
      </c>
      <c r="E7" s="2">
        <f>1/3</f>
        <v>0.33333333333333331</v>
      </c>
      <c r="F7" s="2">
        <f>2/8</f>
        <v>0.25</v>
      </c>
      <c r="G7" s="2"/>
      <c r="H7" s="2"/>
      <c r="I7" s="2"/>
    </row>
    <row r="8" spans="1:9" x14ac:dyDescent="0.2">
      <c r="A8" s="2"/>
      <c r="B8" s="2"/>
      <c r="C8" s="2"/>
      <c r="D8" s="2" t="s">
        <v>17</v>
      </c>
      <c r="E8" s="2">
        <f>1/3</f>
        <v>0.33333333333333331</v>
      </c>
      <c r="F8" s="2">
        <f>3/8</f>
        <v>0.375</v>
      </c>
      <c r="G8" s="2"/>
      <c r="H8" s="2"/>
      <c r="I8" s="2"/>
    </row>
    <row r="9" spans="1:9" x14ac:dyDescent="0.2">
      <c r="A9" s="2"/>
      <c r="B9" s="2"/>
      <c r="C9" s="2"/>
      <c r="D9" s="2" t="s">
        <v>18</v>
      </c>
      <c r="E9" s="2">
        <f>1/3</f>
        <v>0.33333333333333331</v>
      </c>
      <c r="F9" s="2">
        <f>1/8</f>
        <v>0.125</v>
      </c>
      <c r="G9" s="2"/>
      <c r="H9" s="2"/>
      <c r="I9" s="2"/>
    </row>
    <row r="10" spans="1:9" x14ac:dyDescent="0.2">
      <c r="A10" s="2" t="s">
        <v>20</v>
      </c>
      <c r="B10" s="2">
        <f>3/11</f>
        <v>0.27272727272727271</v>
      </c>
      <c r="C10" s="2">
        <f>8/11</f>
        <v>0.72727272727272729</v>
      </c>
      <c r="D10" s="2" t="s">
        <v>15</v>
      </c>
      <c r="E10" s="2">
        <f>0/3</f>
        <v>0</v>
      </c>
      <c r="F10" s="2">
        <f>2/8</f>
        <v>0.25</v>
      </c>
      <c r="G10" s="2">
        <f t="shared" si="0"/>
        <v>0.39669421487603301</v>
      </c>
      <c r="H10" s="2">
        <f t="shared" si="1"/>
        <v>0.58333333333333326</v>
      </c>
      <c r="I10" s="2">
        <f t="shared" si="2"/>
        <v>0.2314049586776859</v>
      </c>
    </row>
    <row r="11" spans="1:9" x14ac:dyDescent="0.2">
      <c r="A11" s="2"/>
      <c r="B11" s="2"/>
      <c r="C11" s="2"/>
      <c r="D11" s="2" t="s">
        <v>16</v>
      </c>
      <c r="E11" s="2">
        <f>1/3</f>
        <v>0.33333333333333331</v>
      </c>
      <c r="F11" s="2">
        <f>2/8</f>
        <v>0.25</v>
      </c>
      <c r="G11" s="2"/>
      <c r="H11" s="2"/>
      <c r="I11" s="2"/>
    </row>
    <row r="12" spans="1:9" x14ac:dyDescent="0.2">
      <c r="A12" s="2"/>
      <c r="B12" s="2"/>
      <c r="C12" s="2"/>
      <c r="D12" s="2" t="s">
        <v>17</v>
      </c>
      <c r="E12" s="2">
        <f>1/3</f>
        <v>0.33333333333333331</v>
      </c>
      <c r="F12" s="2">
        <f>3/8</f>
        <v>0.375</v>
      </c>
      <c r="G12" s="2"/>
      <c r="H12" s="2"/>
      <c r="I12" s="2"/>
    </row>
    <row r="13" spans="1:9" x14ac:dyDescent="0.2">
      <c r="A13" s="2"/>
      <c r="B13" s="2"/>
      <c r="C13" s="2"/>
      <c r="D13" s="2" t="s">
        <v>18</v>
      </c>
      <c r="E13" s="2">
        <f>1/3</f>
        <v>0.33333333333333331</v>
      </c>
      <c r="F13" s="2">
        <f>1/8</f>
        <v>0.125</v>
      </c>
      <c r="G13" s="2"/>
      <c r="H13" s="2"/>
      <c r="I13" s="2"/>
    </row>
  </sheetData>
  <pageMargins left="0.7" right="0.7" top="0.75" bottom="0.75" header="0.3" footer="0.3"/>
  <ignoredErrors>
    <ignoredError sqref="E10 E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000A-F7DD-0F4A-B511-FC594C15A3A3}">
  <dimension ref="A1:I12"/>
  <sheetViews>
    <sheetView workbookViewId="0">
      <selection sqref="A1:XFD1048576"/>
    </sheetView>
  </sheetViews>
  <sheetFormatPr baseColWidth="10" defaultRowHeight="16" x14ac:dyDescent="0.2"/>
  <cols>
    <col min="1" max="1" width="8" bestFit="1" customWidth="1"/>
    <col min="2" max="3" width="14" bestFit="1" customWidth="1"/>
    <col min="4" max="4" width="6.33203125" bestFit="1" customWidth="1"/>
    <col min="5" max="9" width="14" bestFit="1" customWidth="1"/>
  </cols>
  <sheetData>
    <row r="1" spans="1:9" x14ac:dyDescent="0.2">
      <c r="A1" s="1" t="s">
        <v>10</v>
      </c>
      <c r="B1" s="4" t="s">
        <v>11</v>
      </c>
      <c r="C1" s="1" t="s">
        <v>12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">
      <c r="A2" s="2" t="s">
        <v>6</v>
      </c>
      <c r="B2" s="2">
        <f>5/11</f>
        <v>0.45454545454545453</v>
      </c>
      <c r="C2" s="2">
        <f>6/11</f>
        <v>0.54545454545454541</v>
      </c>
      <c r="D2" s="2" t="s">
        <v>15</v>
      </c>
      <c r="E2" s="2">
        <f>2/6</f>
        <v>0.33333333333333331</v>
      </c>
      <c r="F2" s="2">
        <f>0/5</f>
        <v>0</v>
      </c>
      <c r="G2" s="2">
        <f>2*B2*C2</f>
        <v>0.49586776859504128</v>
      </c>
      <c r="H2" s="2">
        <f>SUM(ABS(E2-F2), ABS(E3-F3), ABS(E4-F4), ABS(E5-F5))</f>
        <v>0.93333333333333335</v>
      </c>
      <c r="I2" s="2">
        <f>G2*H2</f>
        <v>0.46280991735537186</v>
      </c>
    </row>
    <row r="3" spans="1:9" x14ac:dyDescent="0.2">
      <c r="A3" s="2"/>
      <c r="B3" s="2"/>
      <c r="C3" s="2"/>
      <c r="D3" s="2" t="s">
        <v>16</v>
      </c>
      <c r="E3" s="2">
        <f>2/6</f>
        <v>0.33333333333333331</v>
      </c>
      <c r="F3" s="2">
        <f xml:space="preserve"> 1/5</f>
        <v>0.2</v>
      </c>
      <c r="G3" s="2"/>
      <c r="H3" s="2"/>
      <c r="I3" s="2"/>
    </row>
    <row r="4" spans="1:9" x14ac:dyDescent="0.2">
      <c r="A4" s="2"/>
      <c r="B4" s="2"/>
      <c r="C4" s="2"/>
      <c r="D4" s="2" t="s">
        <v>17</v>
      </c>
      <c r="E4" s="2">
        <f>2/6</f>
        <v>0.33333333333333331</v>
      </c>
      <c r="F4" s="2">
        <f>2/5</f>
        <v>0.4</v>
      </c>
      <c r="G4" s="2"/>
      <c r="H4" s="2"/>
      <c r="I4" s="2"/>
    </row>
    <row r="5" spans="1:9" x14ac:dyDescent="0.2">
      <c r="A5" s="2"/>
      <c r="B5" s="2"/>
      <c r="C5" s="2"/>
      <c r="D5" s="2" t="s">
        <v>18</v>
      </c>
      <c r="E5" s="2">
        <f>0/6</f>
        <v>0</v>
      </c>
      <c r="F5" s="2">
        <f>2/5</f>
        <v>0.4</v>
      </c>
      <c r="G5" s="2"/>
      <c r="H5" s="2"/>
      <c r="I5" s="2"/>
    </row>
    <row r="6" spans="1:9" x14ac:dyDescent="0.2">
      <c r="A6" s="2" t="s">
        <v>5</v>
      </c>
      <c r="B6" s="2">
        <f>6/11</f>
        <v>0.54545454545454541</v>
      </c>
      <c r="C6" s="2">
        <f>5/11</f>
        <v>0.45454545454545453</v>
      </c>
      <c r="D6" s="2" t="s">
        <v>15</v>
      </c>
      <c r="E6" s="2">
        <f>0/5</f>
        <v>0</v>
      </c>
      <c r="F6" s="2">
        <f>2/6</f>
        <v>0.33333333333333331</v>
      </c>
      <c r="G6" s="2">
        <f t="shared" ref="G6:G9" si="0">2*B6*C6</f>
        <v>0.49586776859504128</v>
      </c>
      <c r="H6" s="2">
        <f t="shared" ref="H6" si="1">SUM(ABS(E6-F6), ABS(E7-F7), ABS(E8-F8), ABS(E9-F9))</f>
        <v>0.93333333333333335</v>
      </c>
      <c r="I6" s="2">
        <f t="shared" ref="I6" si="2">G6*H6</f>
        <v>0.46280991735537186</v>
      </c>
    </row>
    <row r="7" spans="1:9" x14ac:dyDescent="0.2">
      <c r="A7" s="2"/>
      <c r="B7" s="2"/>
      <c r="C7" s="2"/>
      <c r="D7" s="2" t="s">
        <v>16</v>
      </c>
      <c r="E7" s="2">
        <f>1/5</f>
        <v>0.2</v>
      </c>
      <c r="F7" s="2">
        <f>2/6</f>
        <v>0.33333333333333331</v>
      </c>
      <c r="G7" s="2"/>
      <c r="H7" s="2"/>
      <c r="I7" s="2"/>
    </row>
    <row r="8" spans="1:9" x14ac:dyDescent="0.2">
      <c r="A8" s="2"/>
      <c r="B8" s="2"/>
      <c r="C8" s="2"/>
      <c r="D8" s="2" t="s">
        <v>17</v>
      </c>
      <c r="E8" s="2">
        <f>2/5</f>
        <v>0.4</v>
      </c>
      <c r="F8" s="2">
        <f>2/6</f>
        <v>0.33333333333333331</v>
      </c>
      <c r="G8" s="2"/>
      <c r="H8" s="2"/>
      <c r="I8" s="2"/>
    </row>
    <row r="9" spans="1:9" x14ac:dyDescent="0.2">
      <c r="A9" s="2"/>
      <c r="B9" s="2"/>
      <c r="C9" s="2"/>
      <c r="D9" s="2" t="s">
        <v>18</v>
      </c>
      <c r="E9" s="2">
        <f>2/5</f>
        <v>0.4</v>
      </c>
      <c r="F9" s="2">
        <f>0/6</f>
        <v>0</v>
      </c>
      <c r="G9" s="2"/>
      <c r="H9" s="2"/>
      <c r="I9" s="2"/>
    </row>
    <row r="10" spans="1:9" x14ac:dyDescent="0.2">
      <c r="A10" s="2"/>
      <c r="B10" s="2"/>
      <c r="C10" s="2"/>
      <c r="D10" s="2"/>
    </row>
    <row r="11" spans="1:9" x14ac:dyDescent="0.2">
      <c r="A11" s="2"/>
      <c r="B11" s="2"/>
      <c r="C11" s="2"/>
      <c r="D11" s="2"/>
    </row>
    <row r="12" spans="1:9" x14ac:dyDescent="0.2">
      <c r="A12" s="2"/>
      <c r="B12" s="2"/>
      <c r="C12" s="2"/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Department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Dhandharia</dc:creator>
  <cp:lastModifiedBy>Ankit Dhandharia</cp:lastModifiedBy>
  <dcterms:created xsi:type="dcterms:W3CDTF">2025-03-12T23:44:29Z</dcterms:created>
  <dcterms:modified xsi:type="dcterms:W3CDTF">2025-03-12T23:57:14Z</dcterms:modified>
</cp:coreProperties>
</file>